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uigiahung/Downloads/"/>
    </mc:Choice>
  </mc:AlternateContent>
  <xr:revisionPtr revIDLastSave="0" documentId="13_ncr:1_{79B7579B-DD1A-434C-B85E-312294565049}" xr6:coauthVersionLast="47" xr6:coauthVersionMax="47" xr10:uidLastSave="{00000000-0000-0000-0000-000000000000}"/>
  <bookViews>
    <workbookView xWindow="0" yWindow="0" windowWidth="28800" windowHeight="18000" firstSheet="1" activeTab="8" xr2:uid="{950E29A5-C815-0E4C-B845-DE7B1D3121E5}"/>
  </bookViews>
  <sheets>
    <sheet name="Price History" sheetId="1" r:id="rId1"/>
    <sheet name="Stock close price vs Volume" sheetId="2" r:id="rId2"/>
    <sheet name="Stock movement " sheetId="3" r:id="rId3"/>
    <sheet name="Capital vs Issued shares" sheetId="4" r:id="rId4"/>
    <sheet name="Dividend Yield" sheetId="5" r:id="rId5"/>
    <sheet name="PE " sheetId="11" r:id="rId6"/>
    <sheet name="Yearly Portfolio" sheetId="6" r:id="rId7"/>
    <sheet name="A single trade for maximum prof" sheetId="7" r:id="rId8"/>
    <sheet name="Multiple trades for maximum pro" sheetId="8" r:id="rId9"/>
    <sheet name="Sheet1" sheetId="9" state="hidden" r:id="rId10"/>
  </sheets>
  <definedNames>
    <definedName name="_xlnm._FilterDatabase" localSheetId="0" hidden="1">'Price History'!$A$1:$J$255</definedName>
    <definedName name="_xlnm._FilterDatabase" localSheetId="2" hidden="1">'Stock movement '!$A$1:$A$255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L2" i="1"/>
  <c r="J5" i="6"/>
  <c r="L2" i="8"/>
  <c r="J9" i="8"/>
  <c r="K2" i="8"/>
  <c r="J3" i="8"/>
  <c r="H4" i="8"/>
  <c r="H3" i="8"/>
  <c r="F4" i="8"/>
  <c r="H2" i="8"/>
  <c r="H2" i="7"/>
  <c r="F2" i="7" s="1"/>
  <c r="J2" i="7" s="1"/>
  <c r="J4" i="6"/>
  <c r="L2" i="7"/>
  <c r="D2" i="7"/>
  <c r="E2" i="7"/>
  <c r="D3" i="7"/>
  <c r="E3" i="7"/>
  <c r="G3" i="2"/>
  <c r="F3" i="2"/>
  <c r="J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" i="6"/>
  <c r="J2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3" i="6"/>
  <c r="G4" i="6"/>
  <c r="G2" i="6"/>
  <c r="H3" i="7" l="1"/>
  <c r="F3" i="7" s="1"/>
  <c r="G3" i="7" s="1"/>
  <c r="J3" i="7"/>
  <c r="K3" i="7" s="1"/>
  <c r="F2" i="8"/>
  <c r="J2" i="8" s="1"/>
  <c r="F3" i="8" l="1"/>
  <c r="H5" i="8"/>
  <c r="F5" i="8" s="1"/>
  <c r="G3" i="8" l="1"/>
  <c r="J4" i="8"/>
  <c r="J5" i="8" s="1"/>
  <c r="G5" i="8"/>
  <c r="H6" i="8" l="1"/>
  <c r="F6" i="8" l="1"/>
  <c r="J6" i="8" s="1"/>
  <c r="H7" i="8"/>
  <c r="F7" i="8" s="1"/>
  <c r="G7" i="8" l="1"/>
  <c r="J7" i="8"/>
  <c r="H8" i="8" l="1"/>
  <c r="H9" i="8" l="1"/>
  <c r="F9" i="8" s="1"/>
  <c r="F8" i="8"/>
  <c r="J8" i="8" s="1"/>
  <c r="G9" i="8" l="1"/>
</calcChain>
</file>

<file path=xl/sharedStrings.xml><?xml version="1.0" encoding="utf-8"?>
<sst xmlns="http://schemas.openxmlformats.org/spreadsheetml/2006/main" count="2372" uniqueCount="290">
  <si>
    <t>ASX Code</t>
  </si>
  <si>
    <t>Company Name</t>
  </si>
  <si>
    <t>Date</t>
  </si>
  <si>
    <t>Open</t>
  </si>
  <si>
    <t>High</t>
  </si>
  <si>
    <t>Low</t>
  </si>
  <si>
    <t>Close</t>
  </si>
  <si>
    <t>Volume</t>
  </si>
  <si>
    <t>Market Capitalisation($m)</t>
  </si>
  <si>
    <t>Shares on Issue</t>
  </si>
  <si>
    <t>Dividend(Cent)</t>
  </si>
  <si>
    <t>Missing value</t>
  </si>
  <si>
    <t>FLT</t>
  </si>
  <si>
    <t>Flight Centre Travel Group Limited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</si>
  <si>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</si>
  <si>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</si>
  <si>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</si>
  <si>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</si>
  <si>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</si>
  <si>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</si>
  <si>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</si>
  <si>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</si>
  <si>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</si>
  <si>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</si>
  <si>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</si>
  <si>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</si>
  <si>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</si>
  <si>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</si>
  <si>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</si>
  <si>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</si>
  <si>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</si>
  <si>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</si>
  <si>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</si>
  <si>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</si>
  <si>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</si>
  <si>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</si>
  <si>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</si>
  <si>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</si>
  <si>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</si>
  <si>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</si>
  <si>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</si>
  <si>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</si>
  <si>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</si>
  <si>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</si>
  <si>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</si>
  <si>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</si>
  <si>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</si>
  <si>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</si>
  <si>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</si>
  <si>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</si>
  <si>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</si>
  <si>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</si>
  <si>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</si>
  <si>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</si>
  <si>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</si>
  <si>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</si>
  <si>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</si>
  <si>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</si>
  <si>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</si>
  <si>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</si>
  <si>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</si>
  <si>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</si>
  <si>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</si>
  <si>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</si>
  <si>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</si>
  <si>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</si>
  <si>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</si>
  <si>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</si>
  <si>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</si>
  <si>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</si>
  <si>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</si>
  <si>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</si>
  <si>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</si>
  <si>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</si>
  <si>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</si>
  <si>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</si>
  <si>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</si>
  <si>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</si>
  <si>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</si>
  <si>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</si>
  <si>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</si>
  <si>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</si>
  <si>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</si>
  <si>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</si>
  <si>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</si>
  <si>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</si>
  <si>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</si>
  <si>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</si>
  <si>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</si>
  <si>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</si>
  <si>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</si>
  <si>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</si>
  <si>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</si>
  <si>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26/04/2024</t>
  </si>
  <si>
    <t>29/04/2024</t>
  </si>
  <si>
    <t>30/04/2024</t>
  </si>
  <si>
    <t>01/05/2024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</si>
  <si>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</si>
  <si>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</si>
  <si>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</si>
  <si>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</si>
  <si>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</si>
  <si>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</si>
  <si>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</si>
  <si>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</si>
  <si>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</si>
  <si>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</si>
  <si>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</si>
  <si>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</si>
  <si>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</si>
  <si>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</si>
  <si>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</si>
  <si>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</si>
  <si>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</si>
  <si>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</si>
  <si>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</si>
  <si>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</si>
  <si>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</si>
  <si>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</si>
  <si>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</si>
  <si>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</si>
  <si>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</si>
  <si>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</si>
  <si>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</si>
  <si>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</si>
  <si>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</si>
  <si>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</si>
  <si>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</si>
  <si>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</si>
  <si>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</si>
  <si>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</si>
  <si>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</si>
  <si>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</si>
  <si>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</si>
  <si>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</si>
  <si>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</si>
  <si>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</si>
  <si>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</si>
  <si>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</si>
  <si>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</si>
  <si>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</si>
  <si>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</si>
  <si>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</si>
  <si>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</si>
  <si>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</si>
  <si>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</si>
  <si>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</si>
  <si>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</si>
  <si>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</si>
  <si>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</si>
  <si>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</si>
  <si>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</si>
  <si>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</si>
  <si>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</si>
  <si>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</si>
  <si>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</si>
  <si>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</si>
  <si>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</si>
  <si>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</si>
  <si>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</si>
  <si>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</si>
  <si>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</si>
  <si>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</si>
  <si>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</si>
  <si>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</si>
  <si>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</si>
  <si>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</si>
  <si>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</si>
  <si>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</si>
  <si>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</si>
  <si>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</si>
  <si>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</si>
  <si>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</si>
  <si>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</si>
  <si>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</si>
  <si>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</si>
  <si>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</si>
  <si>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</si>
  <si>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</si>
  <si>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</si>
  <si>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</si>
  <si>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</si>
  <si>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</si>
  <si>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</si>
  <si>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</si>
  <si>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</si>
  <si>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</si>
  <si>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</si>
  <si>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</si>
  <si>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</si>
  <si>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</si>
  <si>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</si>
  <si>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</si>
  <si>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</si>
  <si>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</si>
  <si>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</si>
  <si>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</si>
  <si>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</si>
  <si>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</si>
  <si>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</si>
  <si>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</si>
  <si>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</si>
  <si>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</si>
  <si>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</si>
  <si>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</si>
  <si>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</si>
  <si>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</si>
  <si>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</si>
  <si>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</si>
  <si>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</si>
  <si>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</si>
  <si>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</si>
  <si>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</si>
  <si>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</si>
  <si>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</si>
  <si>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</si>
  <si>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</si>
  <si>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</si>
  <si>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</si>
  <si>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</si>
  <si>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</si>
  <si>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</si>
  <si>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</si>
  <si>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</si>
  <si>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</si>
  <si>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</si>
  <si>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</si>
  <si>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</si>
  <si>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</si>
  <si>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</si>
  <si>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</si>
  <si>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</si>
  <si>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</si>
  <si>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</si>
  <si>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</si>
  <si>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</si>
  <si>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</si>
  <si>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</si>
  <si>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</si>
  <si>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</si>
  <si>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</si>
  <si>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</si>
  <si>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</si>
  <si>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</si>
  <si>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</si>
  <si>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</si>
  <si>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</si>
  <si>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</si>
  <si>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</si>
  <si>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</si>
  <si>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</si>
  <si>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</si>
  <si>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</si>
  <si>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</si>
  <si>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</si>
  <si>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</si>
  <si>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</si>
  <si>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</si>
  <si>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</si>
  <si>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</si>
  <si>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</si>
  <si>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</si>
  <si>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</si>
  <si>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</si>
  <si>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</si>
  <si>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27/12/2024</t>
  </si>
  <si>
    <t>30/12/2024</t>
  </si>
  <si>
    <t>31/12/2024</t>
  </si>
  <si>
    <t>Min</t>
  </si>
  <si>
    <t>Max</t>
  </si>
  <si>
    <t xml:space="preserve">Close </t>
  </si>
  <si>
    <t>Total Div - Ex. Special (Cent)</t>
  </si>
  <si>
    <t>--</t>
  </si>
  <si>
    <t>Dividend Yield Ex. Spec (%)</t>
  </si>
  <si>
    <t>PER</t>
  </si>
  <si>
    <t>Market Value</t>
  </si>
  <si>
    <t>Portfolio</t>
  </si>
  <si>
    <t>$1000 can buy 48x shares</t>
  </si>
  <si>
    <t>Cash blance</t>
  </si>
  <si>
    <t>Dividend</t>
  </si>
  <si>
    <t>Total</t>
  </si>
  <si>
    <t>Profit (%)</t>
  </si>
  <si>
    <t>Price</t>
  </si>
  <si>
    <t>Invest</t>
  </si>
  <si>
    <t>Amount</t>
  </si>
  <si>
    <t xml:space="preserve">Note </t>
  </si>
  <si>
    <t>Cash Balance</t>
  </si>
  <si>
    <t>Buy</t>
  </si>
  <si>
    <t>Sell</t>
  </si>
  <si>
    <t>Total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</si>
</sst>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₫&quot;* #,##0_);_(&quot;₫&quot;* \(#,##0\);_(&quot;₫&quot;* &quot;-&quot;_);_(@_)"/>
    <numFmt numFmtId="164" formatCode="#,##0.00##"/>
    <numFmt numFmtId="165" formatCode="[$$-C09]#,##0.00"/>
    <numFmt numFmtId="166" formatCode="#,##0.0000"/>
    <numFmt numFmtId="167" formatCode="&quot;$&quot;#,##0.00"/>
    <numFmt numFmtId="168" formatCode="[$]d/m/yyyy;@" x16r2:formatCode16="[$-en-VN,1]d/m/yyyy;@"/>
    <numFmt numFmtId="169" formatCode="dd/mm/yyyy"/>
    <numFmt numFmtId="170" formatCode="yyyy"/>
  </numFmts>
  <fonts count="29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rgb="FF333333"/>
      <name val="Verdana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Calibri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0B050"/>
      <name val="Arial"/>
      <family val="2"/>
    </font>
    <font>
      <b/>
      <sz val="10"/>
      <name val="Arial"/>
      <family val="2"/>
    </font>
    <font>
      <sz val="14"/>
      <color rgb="FF333333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FFC1"/>
        <bgColor indexed="64"/>
      </patternFill>
    </fill>
    <fill>
      <patternFill patternType="solid">
        <fgColor rgb="FFFAACB6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2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7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8" fillId="33" borderId="0" xfId="0" applyFont="1" applyFill="1" applyAlignment="1">
      <alignment horizontal="center"/>
    </xf>
    <xf numFmtId="164" fontId="0" fillId="0" borderId="0" xfId="0" applyNumberFormat="1"/>
    <xf numFmtId="14" fontId="18" fillId="33" borderId="0" xfId="0" applyNumberFormat="1" applyFont="1" applyFill="1" applyAlignment="1">
      <alignment horizontal="center"/>
    </xf>
    <xf numFmtId="0" fontId="0" fillId="0" borderId="0" xfId="0" quotePrefix="1"/>
    <xf numFmtId="0" fontId="19" fillId="0" borderId="0" xfId="0" applyFont="1"/>
    <xf numFmtId="0" fontId="20" fillId="0" borderId="0" xfId="0" applyFont="1" applyAlignment="1">
      <alignment horizontal="center"/>
    </xf>
    <xf numFmtId="166" fontId="0" fillId="0" borderId="0" xfId="0" applyNumberFormat="1"/>
    <xf numFmtId="0" fontId="22" fillId="33" borderId="0" xfId="0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23" fillId="0" borderId="0" xfId="0" applyFont="1"/>
    <xf numFmtId="164" fontId="23" fillId="0" borderId="0" xfId="0" applyNumberFormat="1" applyFont="1"/>
    <xf numFmtId="10" fontId="23" fillId="0" borderId="0" xfId="0" applyNumberFormat="1" applyFont="1"/>
    <xf numFmtId="14" fontId="22" fillId="33" borderId="0" xfId="0" applyNumberFormat="1" applyFont="1" applyFill="1" applyAlignment="1">
      <alignment horizontal="center"/>
    </xf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right" wrapText="1"/>
    </xf>
    <xf numFmtId="0" fontId="22" fillId="0" borderId="0" xfId="0" applyFont="1" applyAlignment="1">
      <alignment horizontal="center"/>
    </xf>
    <xf numFmtId="2" fontId="24" fillId="35" borderId="0" xfId="0" applyNumberFormat="1" applyFont="1" applyFill="1"/>
    <xf numFmtId="2" fontId="23" fillId="0" borderId="0" xfId="0" applyNumberFormat="1" applyFont="1"/>
    <xf numFmtId="4" fontId="24" fillId="35" borderId="0" xfId="0" applyNumberFormat="1" applyFont="1" applyFill="1"/>
    <xf numFmtId="10" fontId="24" fillId="35" borderId="0" xfId="43" applyNumberFormat="1" applyFont="1" applyFill="1"/>
    <xf numFmtId="165" fontId="23" fillId="0" borderId="0" xfId="42" applyNumberFormat="1" applyFont="1"/>
    <xf numFmtId="165" fontId="24" fillId="35" borderId="0" xfId="42" applyNumberFormat="1" applyFont="1" applyFill="1"/>
    <xf numFmtId="1" fontId="23" fillId="0" borderId="0" xfId="0" applyNumberFormat="1" applyFont="1"/>
    <xf numFmtId="165" fontId="23" fillId="0" borderId="0" xfId="0" applyNumberFormat="1" applyFont="1"/>
    <xf numFmtId="165" fontId="24" fillId="35" borderId="0" xfId="0" applyNumberFormat="1" applyFont="1" applyFill="1"/>
    <xf numFmtId="14" fontId="23" fillId="37" borderId="0" xfId="0" applyNumberFormat="1" applyFont="1" applyFill="1" applyAlignment="1">
      <alignment horizontal="center"/>
    </xf>
    <xf numFmtId="165" fontId="23" fillId="37" borderId="0" xfId="0" applyNumberFormat="1" applyFont="1" applyFill="1"/>
    <xf numFmtId="165" fontId="25" fillId="37" borderId="0" xfId="42" applyNumberFormat="1" applyFont="1" applyFill="1"/>
    <xf numFmtId="10" fontId="23" fillId="37" borderId="0" xfId="0" applyNumberFormat="1" applyFont="1" applyFill="1"/>
    <xf numFmtId="1" fontId="23" fillId="37" borderId="0" xfId="0" applyNumberFormat="1" applyFont="1" applyFill="1"/>
    <xf numFmtId="0" fontId="24" fillId="37" borderId="0" xfId="0" applyFont="1" applyFill="1"/>
    <xf numFmtId="165" fontId="23" fillId="35" borderId="0" xfId="0" applyNumberFormat="1" applyFont="1" applyFill="1"/>
    <xf numFmtId="0" fontId="26" fillId="37" borderId="0" xfId="0" applyFont="1" applyFill="1"/>
    <xf numFmtId="165" fontId="25" fillId="35" borderId="0" xfId="0" applyNumberFormat="1" applyFont="1" applyFill="1"/>
    <xf numFmtId="14" fontId="23" fillId="36" borderId="0" xfId="0" applyNumberFormat="1" applyFont="1" applyFill="1" applyAlignment="1">
      <alignment horizontal="center"/>
    </xf>
    <xf numFmtId="165" fontId="23" fillId="36" borderId="0" xfId="0" applyNumberFormat="1" applyFont="1" applyFill="1"/>
    <xf numFmtId="165" fontId="25" fillId="36" borderId="0" xfId="42" applyNumberFormat="1" applyFont="1" applyFill="1"/>
    <xf numFmtId="10" fontId="23" fillId="36" borderId="0" xfId="0" applyNumberFormat="1" applyFont="1" applyFill="1"/>
    <xf numFmtId="0" fontId="23" fillId="36" borderId="0" xfId="0" applyFont="1" applyFill="1"/>
    <xf numFmtId="0" fontId="24" fillId="36" borderId="0" xfId="0" applyFont="1" applyFill="1"/>
    <xf numFmtId="165" fontId="25" fillId="36" borderId="0" xfId="0" applyNumberFormat="1" applyFont="1" applyFill="1"/>
    <xf numFmtId="165" fontId="25" fillId="0" borderId="0" xfId="0" applyNumberFormat="1" applyFont="1"/>
    <xf numFmtId="0" fontId="26" fillId="36" borderId="0" xfId="0" applyFont="1" applyFill="1"/>
    <xf numFmtId="14" fontId="23" fillId="39" borderId="0" xfId="0" applyNumberFormat="1" applyFont="1" applyFill="1" applyAlignment="1">
      <alignment horizontal="center"/>
    </xf>
    <xf numFmtId="165" fontId="23" fillId="39" borderId="0" xfId="0" applyNumberFormat="1" applyFont="1" applyFill="1"/>
    <xf numFmtId="165" fontId="25" fillId="39" borderId="0" xfId="42" applyNumberFormat="1" applyFont="1" applyFill="1"/>
    <xf numFmtId="10" fontId="23" fillId="39" borderId="0" xfId="0" applyNumberFormat="1" applyFont="1" applyFill="1"/>
    <xf numFmtId="0" fontId="23" fillId="39" borderId="0" xfId="0" applyFont="1" applyFill="1"/>
    <xf numFmtId="0" fontId="24" fillId="39" borderId="0" xfId="0" applyFont="1" applyFill="1"/>
    <xf numFmtId="0" fontId="26" fillId="39" borderId="0" xfId="0" applyFont="1" applyFill="1"/>
    <xf numFmtId="14" fontId="23" fillId="38" borderId="0" xfId="0" applyNumberFormat="1" applyFont="1" applyFill="1" applyAlignment="1">
      <alignment horizontal="center"/>
    </xf>
    <xf numFmtId="165" fontId="23" fillId="38" borderId="0" xfId="0" applyNumberFormat="1" applyFont="1" applyFill="1"/>
    <xf numFmtId="165" fontId="25" fillId="38" borderId="0" xfId="42" applyNumberFormat="1" applyFont="1" applyFill="1"/>
    <xf numFmtId="10" fontId="23" fillId="38" borderId="0" xfId="0" applyNumberFormat="1" applyFont="1" applyFill="1"/>
    <xf numFmtId="0" fontId="23" fillId="38" borderId="0" xfId="0" applyFont="1" applyFill="1"/>
    <xf numFmtId="0" fontId="24" fillId="38" borderId="0" xfId="0" applyFont="1" applyFill="1"/>
    <xf numFmtId="0" fontId="26" fillId="38" borderId="0" xfId="0" applyFont="1" applyFill="1"/>
    <xf numFmtId="14" fontId="23" fillId="0" borderId="0" xfId="0" applyNumberFormat="1" applyFont="1"/>
    <xf numFmtId="165" fontId="25" fillId="0" borderId="0" xfId="42" applyNumberFormat="1" applyFont="1" applyFill="1"/>
    <xf numFmtId="0" fontId="24" fillId="0" borderId="0" xfId="0" applyFont="1"/>
    <xf numFmtId="0" fontId="26" fillId="0" borderId="0" xfId="0" applyFont="1"/>
    <xf numFmtId="4" fontId="23" fillId="0" borderId="0" xfId="0" applyNumberFormat="1" applyFont="1"/>
    <xf numFmtId="0" fontId="27" fillId="34" borderId="0" xfId="0" applyFont="1" applyFill="1"/>
    <xf numFmtId="10" fontId="23" fillId="0" borderId="0" xfId="0" applyNumberFormat="1" applyFont="1" applyAlignment="1">
      <alignment vertical="center"/>
    </xf>
    <xf numFmtId="10" fontId="23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2" fontId="28" fillId="0" borderId="0" xfId="0" applyNumberFormat="1" applyFont="1"/>
    <xf numFmtId="10" fontId="28" fillId="0" borderId="0" xfId="0" applyNumberFormat="1" applyFont="1"/>
    <xf numFmtId="0" fontId="23" fillId="34" borderId="0" xfId="0" applyFont="1" applyFill="1"/>
    <xf numFmtId="167" fontId="23" fillId="0" borderId="0" xfId="0" applyNumberFormat="1" applyFont="1"/>
    <xf numFmtId="170" fontId="22" fillId="33" borderId="0" xfId="0" applyNumberFormat="1" applyFont="1" applyFill="1" applyAlignment="1">
      <alignment horizontal="center"/>
    </xf>
    <xf numFmtId="0" fontId="23" fillId="0" borderId="0" xfId="0" quotePrefix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[0]" xfId="42" builtinId="7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035"/>
      <color rgb="FFFF7A79"/>
      <color rgb="FFFF8FF1"/>
      <color rgb="FFFAACB6"/>
      <color rgb="FF83F7F8"/>
      <color rgb="FF97FFC1"/>
      <color rgb="FFEBEF86"/>
      <color rgb="FFFCFFAC"/>
      <color rgb="FF9CA9FE"/>
      <color rgb="FF81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vs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'Stock close price vs Volume'!$C$1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9776007964161184E-3"/>
                  <c:y val="-0.101265822784810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41-4FD9-827D-CD94733A3D3A}"/>
                </c:ext>
              </c:extLst>
            </c:dLbl>
            <c:dLbl>
              <c:idx val="40"/>
              <c:layout>
                <c:manualLayout>
                  <c:x val="-3.9820806371329018E-3"/>
                  <c:y val="-5.6258790436005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41-4FD9-827D-CD94733A3D3A}"/>
                </c:ext>
              </c:extLst>
            </c:dLbl>
            <c:dLbl>
              <c:idx val="52"/>
              <c:layout>
                <c:manualLayout>
                  <c:x val="2.687904430064705E-2"/>
                  <c:y val="-5.250820440693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41-4FD9-827D-CD94733A3D3A}"/>
                </c:ext>
              </c:extLst>
            </c:dLbl>
            <c:dLbl>
              <c:idx val="118"/>
              <c:layout>
                <c:manualLayout>
                  <c:x val="3.9820806371329018E-3"/>
                  <c:y val="-4.5007032348804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41-4FD9-827D-CD94733A3D3A}"/>
                </c:ext>
              </c:extLst>
            </c:dLbl>
            <c:dLbl>
              <c:idx val="141"/>
              <c:layout>
                <c:manualLayout>
                  <c:x val="1.1946241911398706E-2"/>
                  <c:y val="-2.2503516174402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41-4FD9-827D-CD94733A3D3A}"/>
                </c:ext>
              </c:extLst>
            </c:dLbl>
            <c:dLbl>
              <c:idx val="203"/>
              <c:layout>
                <c:manualLayout>
                  <c:x val="2.6879044300647088E-2"/>
                  <c:y val="3.37552742616033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41-4FD9-827D-CD94733A3D3A}"/>
                </c:ext>
              </c:extLst>
            </c:dLbl>
            <c:dLbl>
              <c:idx val="215"/>
              <c:layout>
                <c:manualLayout>
                  <c:x val="-4.9776007964162736E-3"/>
                  <c:y val="4.87576183778714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41-4FD9-827D-CD94733A3D3A}"/>
                </c:ext>
              </c:extLst>
            </c:dLbl>
            <c:dLbl>
              <c:idx val="252"/>
              <c:layout>
                <c:manualLayout>
                  <c:x val="-3.8825286212045937E-2"/>
                  <c:y val="-0.148148148148148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41-4FD9-827D-CD94733A3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BE501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'Stock close price vs Volume'!$A$2:$A$255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close price vs Volume'!$C$2:$C$256</c:f>
              <c:numCache>
                <c:formatCode>#,##0.00##</c:formatCode>
                <c:ptCount val="255"/>
                <c:pt idx="0">
                  <c:v>318375</c:v>
                </c:pt>
                <c:pt idx="1">
                  <c:v>486861</c:v>
                </c:pt>
                <c:pt idx="2">
                  <c:v>556995</c:v>
                </c:pt>
                <c:pt idx="3">
                  <c:v>278345</c:v>
                </c:pt>
                <c:pt idx="4">
                  <c:v>319034</c:v>
                </c:pt>
                <c:pt idx="5">
                  <c:v>409517</c:v>
                </c:pt>
                <c:pt idx="6">
                  <c:v>596294</c:v>
                </c:pt>
                <c:pt idx="7">
                  <c:v>661417</c:v>
                </c:pt>
                <c:pt idx="8">
                  <c:v>992725</c:v>
                </c:pt>
                <c:pt idx="9">
                  <c:v>336200</c:v>
                </c:pt>
                <c:pt idx="10">
                  <c:v>383641</c:v>
                </c:pt>
                <c:pt idx="11">
                  <c:v>564314</c:v>
                </c:pt>
                <c:pt idx="12">
                  <c:v>538674</c:v>
                </c:pt>
                <c:pt idx="13">
                  <c:v>875464</c:v>
                </c:pt>
                <c:pt idx="14">
                  <c:v>437343</c:v>
                </c:pt>
                <c:pt idx="15">
                  <c:v>541591</c:v>
                </c:pt>
                <c:pt idx="16">
                  <c:v>377108</c:v>
                </c:pt>
                <c:pt idx="17">
                  <c:v>330863</c:v>
                </c:pt>
                <c:pt idx="18">
                  <c:v>636085</c:v>
                </c:pt>
                <c:pt idx="19">
                  <c:v>735780</c:v>
                </c:pt>
                <c:pt idx="20">
                  <c:v>672594</c:v>
                </c:pt>
                <c:pt idx="21">
                  <c:v>638630</c:v>
                </c:pt>
                <c:pt idx="22">
                  <c:v>945534</c:v>
                </c:pt>
                <c:pt idx="23">
                  <c:v>494964</c:v>
                </c:pt>
                <c:pt idx="24">
                  <c:v>438805</c:v>
                </c:pt>
                <c:pt idx="25">
                  <c:v>667977</c:v>
                </c:pt>
                <c:pt idx="26">
                  <c:v>707464</c:v>
                </c:pt>
                <c:pt idx="27">
                  <c:v>319291</c:v>
                </c:pt>
                <c:pt idx="28">
                  <c:v>250349</c:v>
                </c:pt>
                <c:pt idx="29">
                  <c:v>416375</c:v>
                </c:pt>
                <c:pt idx="30">
                  <c:v>401944</c:v>
                </c:pt>
                <c:pt idx="31">
                  <c:v>677311</c:v>
                </c:pt>
                <c:pt idx="32">
                  <c:v>915424</c:v>
                </c:pt>
                <c:pt idx="33">
                  <c:v>1164179</c:v>
                </c:pt>
                <c:pt idx="34">
                  <c:v>638221</c:v>
                </c:pt>
                <c:pt idx="35">
                  <c:v>1317362</c:v>
                </c:pt>
                <c:pt idx="36">
                  <c:v>734129</c:v>
                </c:pt>
                <c:pt idx="37">
                  <c:v>842911</c:v>
                </c:pt>
                <c:pt idx="38">
                  <c:v>770535</c:v>
                </c:pt>
                <c:pt idx="39">
                  <c:v>1180856</c:v>
                </c:pt>
                <c:pt idx="40">
                  <c:v>3551302</c:v>
                </c:pt>
                <c:pt idx="41">
                  <c:v>2472807</c:v>
                </c:pt>
                <c:pt idx="42">
                  <c:v>1557158</c:v>
                </c:pt>
                <c:pt idx="43">
                  <c:v>1274832</c:v>
                </c:pt>
                <c:pt idx="44">
                  <c:v>1265085</c:v>
                </c:pt>
                <c:pt idx="45">
                  <c:v>922278</c:v>
                </c:pt>
                <c:pt idx="46">
                  <c:v>666957</c:v>
                </c:pt>
                <c:pt idx="47">
                  <c:v>1400949</c:v>
                </c:pt>
                <c:pt idx="48">
                  <c:v>557773</c:v>
                </c:pt>
                <c:pt idx="49">
                  <c:v>999009</c:v>
                </c:pt>
                <c:pt idx="50">
                  <c:v>1120489</c:v>
                </c:pt>
                <c:pt idx="51">
                  <c:v>526712</c:v>
                </c:pt>
                <c:pt idx="52">
                  <c:v>3386112</c:v>
                </c:pt>
                <c:pt idx="53">
                  <c:v>1426786</c:v>
                </c:pt>
                <c:pt idx="54">
                  <c:v>588162</c:v>
                </c:pt>
                <c:pt idx="55">
                  <c:v>522205</c:v>
                </c:pt>
                <c:pt idx="56">
                  <c:v>928537</c:v>
                </c:pt>
                <c:pt idx="57">
                  <c:v>528354</c:v>
                </c:pt>
                <c:pt idx="58">
                  <c:v>613273</c:v>
                </c:pt>
                <c:pt idx="59">
                  <c:v>646126</c:v>
                </c:pt>
                <c:pt idx="60">
                  <c:v>472246</c:v>
                </c:pt>
                <c:pt idx="61">
                  <c:v>701551</c:v>
                </c:pt>
                <c:pt idx="62">
                  <c:v>759042</c:v>
                </c:pt>
                <c:pt idx="63">
                  <c:v>716367</c:v>
                </c:pt>
                <c:pt idx="64">
                  <c:v>1277262</c:v>
                </c:pt>
                <c:pt idx="65">
                  <c:v>574168</c:v>
                </c:pt>
                <c:pt idx="66">
                  <c:v>695505</c:v>
                </c:pt>
                <c:pt idx="67">
                  <c:v>779702</c:v>
                </c:pt>
                <c:pt idx="68">
                  <c:v>494767</c:v>
                </c:pt>
                <c:pt idx="69">
                  <c:v>517008</c:v>
                </c:pt>
                <c:pt idx="70">
                  <c:v>554904</c:v>
                </c:pt>
                <c:pt idx="71">
                  <c:v>605995</c:v>
                </c:pt>
                <c:pt idx="72">
                  <c:v>1437861</c:v>
                </c:pt>
                <c:pt idx="73">
                  <c:v>701161</c:v>
                </c:pt>
                <c:pt idx="74">
                  <c:v>621742</c:v>
                </c:pt>
                <c:pt idx="75">
                  <c:v>1445639</c:v>
                </c:pt>
                <c:pt idx="76">
                  <c:v>612445</c:v>
                </c:pt>
                <c:pt idx="77">
                  <c:v>832498</c:v>
                </c:pt>
                <c:pt idx="78">
                  <c:v>793562</c:v>
                </c:pt>
                <c:pt idx="79">
                  <c:v>597340</c:v>
                </c:pt>
                <c:pt idx="80">
                  <c:v>682539</c:v>
                </c:pt>
                <c:pt idx="81">
                  <c:v>639463</c:v>
                </c:pt>
                <c:pt idx="82">
                  <c:v>595707</c:v>
                </c:pt>
                <c:pt idx="83">
                  <c:v>1372294</c:v>
                </c:pt>
                <c:pt idx="84">
                  <c:v>589857</c:v>
                </c:pt>
                <c:pt idx="85">
                  <c:v>1108499</c:v>
                </c:pt>
                <c:pt idx="86">
                  <c:v>736025</c:v>
                </c:pt>
                <c:pt idx="87">
                  <c:v>1157320</c:v>
                </c:pt>
                <c:pt idx="88">
                  <c:v>1027123</c:v>
                </c:pt>
                <c:pt idx="89">
                  <c:v>802632</c:v>
                </c:pt>
                <c:pt idx="90">
                  <c:v>1178402</c:v>
                </c:pt>
                <c:pt idx="91">
                  <c:v>1007285</c:v>
                </c:pt>
                <c:pt idx="92">
                  <c:v>584338</c:v>
                </c:pt>
                <c:pt idx="93">
                  <c:v>648545</c:v>
                </c:pt>
                <c:pt idx="94">
                  <c:v>711385</c:v>
                </c:pt>
                <c:pt idx="95">
                  <c:v>495855</c:v>
                </c:pt>
                <c:pt idx="96">
                  <c:v>652779</c:v>
                </c:pt>
                <c:pt idx="97">
                  <c:v>2212867</c:v>
                </c:pt>
                <c:pt idx="98">
                  <c:v>916843</c:v>
                </c:pt>
                <c:pt idx="99">
                  <c:v>1078304</c:v>
                </c:pt>
                <c:pt idx="100">
                  <c:v>1242464</c:v>
                </c:pt>
                <c:pt idx="101">
                  <c:v>724247</c:v>
                </c:pt>
                <c:pt idx="102">
                  <c:v>1565091</c:v>
                </c:pt>
                <c:pt idx="103">
                  <c:v>963307</c:v>
                </c:pt>
                <c:pt idx="104">
                  <c:v>1746799</c:v>
                </c:pt>
                <c:pt idx="105">
                  <c:v>1342203</c:v>
                </c:pt>
                <c:pt idx="106">
                  <c:v>1152033</c:v>
                </c:pt>
                <c:pt idx="107">
                  <c:v>1156782</c:v>
                </c:pt>
                <c:pt idx="108">
                  <c:v>942827</c:v>
                </c:pt>
                <c:pt idx="109">
                  <c:v>732356</c:v>
                </c:pt>
                <c:pt idx="110">
                  <c:v>1031875</c:v>
                </c:pt>
                <c:pt idx="111">
                  <c:v>812650</c:v>
                </c:pt>
                <c:pt idx="112">
                  <c:v>349371</c:v>
                </c:pt>
                <c:pt idx="113">
                  <c:v>701116</c:v>
                </c:pt>
                <c:pt idx="114">
                  <c:v>653639</c:v>
                </c:pt>
                <c:pt idx="115">
                  <c:v>663715</c:v>
                </c:pt>
                <c:pt idx="116">
                  <c:v>600422</c:v>
                </c:pt>
                <c:pt idx="117">
                  <c:v>462266</c:v>
                </c:pt>
                <c:pt idx="118">
                  <c:v>3324301</c:v>
                </c:pt>
                <c:pt idx="119">
                  <c:v>719743</c:v>
                </c:pt>
                <c:pt idx="120">
                  <c:v>518389</c:v>
                </c:pt>
                <c:pt idx="121">
                  <c:v>637654</c:v>
                </c:pt>
                <c:pt idx="122">
                  <c:v>765277</c:v>
                </c:pt>
                <c:pt idx="123">
                  <c:v>850210</c:v>
                </c:pt>
                <c:pt idx="124">
                  <c:v>525529</c:v>
                </c:pt>
                <c:pt idx="125">
                  <c:v>553735</c:v>
                </c:pt>
                <c:pt idx="126">
                  <c:v>1495941</c:v>
                </c:pt>
                <c:pt idx="127">
                  <c:v>1434200</c:v>
                </c:pt>
                <c:pt idx="128">
                  <c:v>1158198</c:v>
                </c:pt>
                <c:pt idx="129">
                  <c:v>646778</c:v>
                </c:pt>
                <c:pt idx="130">
                  <c:v>1043989</c:v>
                </c:pt>
                <c:pt idx="131">
                  <c:v>668471</c:v>
                </c:pt>
                <c:pt idx="132">
                  <c:v>1385105</c:v>
                </c:pt>
                <c:pt idx="133">
                  <c:v>1449123</c:v>
                </c:pt>
                <c:pt idx="134">
                  <c:v>1252361</c:v>
                </c:pt>
                <c:pt idx="135">
                  <c:v>988346</c:v>
                </c:pt>
                <c:pt idx="136">
                  <c:v>716227</c:v>
                </c:pt>
                <c:pt idx="137">
                  <c:v>545665</c:v>
                </c:pt>
                <c:pt idx="138">
                  <c:v>1327132</c:v>
                </c:pt>
                <c:pt idx="139">
                  <c:v>1543790</c:v>
                </c:pt>
                <c:pt idx="140">
                  <c:v>929437</c:v>
                </c:pt>
                <c:pt idx="141">
                  <c:v>3785100</c:v>
                </c:pt>
                <c:pt idx="142">
                  <c:v>1207769</c:v>
                </c:pt>
                <c:pt idx="143">
                  <c:v>782536</c:v>
                </c:pt>
                <c:pt idx="144">
                  <c:v>580409</c:v>
                </c:pt>
                <c:pt idx="145">
                  <c:v>606895</c:v>
                </c:pt>
                <c:pt idx="146">
                  <c:v>874785</c:v>
                </c:pt>
                <c:pt idx="147">
                  <c:v>907279</c:v>
                </c:pt>
                <c:pt idx="148">
                  <c:v>1043072</c:v>
                </c:pt>
                <c:pt idx="149">
                  <c:v>1133387</c:v>
                </c:pt>
                <c:pt idx="150">
                  <c:v>980007</c:v>
                </c:pt>
                <c:pt idx="151">
                  <c:v>1338405</c:v>
                </c:pt>
                <c:pt idx="152">
                  <c:v>679645</c:v>
                </c:pt>
                <c:pt idx="153">
                  <c:v>1931282</c:v>
                </c:pt>
                <c:pt idx="154">
                  <c:v>990000</c:v>
                </c:pt>
                <c:pt idx="155">
                  <c:v>868794</c:v>
                </c:pt>
                <c:pt idx="156">
                  <c:v>1032344</c:v>
                </c:pt>
                <c:pt idx="157">
                  <c:v>656109</c:v>
                </c:pt>
                <c:pt idx="158">
                  <c:v>1278903</c:v>
                </c:pt>
                <c:pt idx="159">
                  <c:v>1006672</c:v>
                </c:pt>
                <c:pt idx="160">
                  <c:v>934745</c:v>
                </c:pt>
                <c:pt idx="161">
                  <c:v>1320032</c:v>
                </c:pt>
                <c:pt idx="162">
                  <c:v>1257775</c:v>
                </c:pt>
                <c:pt idx="163">
                  <c:v>817175</c:v>
                </c:pt>
                <c:pt idx="164">
                  <c:v>1603158</c:v>
                </c:pt>
                <c:pt idx="165">
                  <c:v>2061090</c:v>
                </c:pt>
                <c:pt idx="166">
                  <c:v>2669489</c:v>
                </c:pt>
                <c:pt idx="167">
                  <c:v>2850937</c:v>
                </c:pt>
                <c:pt idx="168">
                  <c:v>1766320</c:v>
                </c:pt>
                <c:pt idx="169">
                  <c:v>1176965</c:v>
                </c:pt>
                <c:pt idx="170">
                  <c:v>864543</c:v>
                </c:pt>
                <c:pt idx="171">
                  <c:v>1401794</c:v>
                </c:pt>
                <c:pt idx="172">
                  <c:v>1151609</c:v>
                </c:pt>
                <c:pt idx="173">
                  <c:v>953685</c:v>
                </c:pt>
                <c:pt idx="174">
                  <c:v>1151573</c:v>
                </c:pt>
                <c:pt idx="175">
                  <c:v>1196014</c:v>
                </c:pt>
                <c:pt idx="176">
                  <c:v>1564752</c:v>
                </c:pt>
                <c:pt idx="177">
                  <c:v>982453</c:v>
                </c:pt>
                <c:pt idx="178">
                  <c:v>1238070</c:v>
                </c:pt>
                <c:pt idx="179">
                  <c:v>1188776</c:v>
                </c:pt>
                <c:pt idx="180">
                  <c:v>1169494</c:v>
                </c:pt>
                <c:pt idx="181">
                  <c:v>1223425</c:v>
                </c:pt>
                <c:pt idx="182">
                  <c:v>1263070</c:v>
                </c:pt>
                <c:pt idx="183">
                  <c:v>2705266</c:v>
                </c:pt>
                <c:pt idx="184">
                  <c:v>620524</c:v>
                </c:pt>
                <c:pt idx="185">
                  <c:v>1118918</c:v>
                </c:pt>
                <c:pt idx="186">
                  <c:v>1204085</c:v>
                </c:pt>
                <c:pt idx="187">
                  <c:v>1036660</c:v>
                </c:pt>
                <c:pt idx="188">
                  <c:v>753733</c:v>
                </c:pt>
                <c:pt idx="189">
                  <c:v>935053</c:v>
                </c:pt>
                <c:pt idx="190">
                  <c:v>739318</c:v>
                </c:pt>
                <c:pt idx="191">
                  <c:v>754242</c:v>
                </c:pt>
                <c:pt idx="192">
                  <c:v>713563</c:v>
                </c:pt>
                <c:pt idx="193">
                  <c:v>638458</c:v>
                </c:pt>
                <c:pt idx="194">
                  <c:v>549893</c:v>
                </c:pt>
                <c:pt idx="195">
                  <c:v>546182</c:v>
                </c:pt>
                <c:pt idx="196">
                  <c:v>569087</c:v>
                </c:pt>
                <c:pt idx="197">
                  <c:v>581021</c:v>
                </c:pt>
                <c:pt idx="198">
                  <c:v>450146</c:v>
                </c:pt>
                <c:pt idx="199">
                  <c:v>909288</c:v>
                </c:pt>
                <c:pt idx="200">
                  <c:v>1401502</c:v>
                </c:pt>
                <c:pt idx="201">
                  <c:v>637512</c:v>
                </c:pt>
                <c:pt idx="202">
                  <c:v>719489</c:v>
                </c:pt>
                <c:pt idx="203">
                  <c:v>8260856</c:v>
                </c:pt>
                <c:pt idx="204">
                  <c:v>4801744</c:v>
                </c:pt>
                <c:pt idx="205">
                  <c:v>3065599</c:v>
                </c:pt>
                <c:pt idx="206">
                  <c:v>2924513</c:v>
                </c:pt>
                <c:pt idx="207">
                  <c:v>3222367</c:v>
                </c:pt>
                <c:pt idx="208">
                  <c:v>3158703</c:v>
                </c:pt>
                <c:pt idx="209">
                  <c:v>2553116</c:v>
                </c:pt>
                <c:pt idx="210">
                  <c:v>2815069</c:v>
                </c:pt>
                <c:pt idx="211">
                  <c:v>1725141</c:v>
                </c:pt>
                <c:pt idx="212">
                  <c:v>1862195</c:v>
                </c:pt>
                <c:pt idx="213">
                  <c:v>1596340</c:v>
                </c:pt>
                <c:pt idx="214">
                  <c:v>2084397</c:v>
                </c:pt>
                <c:pt idx="215">
                  <c:v>930275</c:v>
                </c:pt>
                <c:pt idx="216">
                  <c:v>1086735</c:v>
                </c:pt>
                <c:pt idx="217">
                  <c:v>1239107</c:v>
                </c:pt>
                <c:pt idx="218">
                  <c:v>993640</c:v>
                </c:pt>
                <c:pt idx="219">
                  <c:v>1232821</c:v>
                </c:pt>
                <c:pt idx="220">
                  <c:v>1169596</c:v>
                </c:pt>
                <c:pt idx="221">
                  <c:v>867695</c:v>
                </c:pt>
                <c:pt idx="222">
                  <c:v>2716647</c:v>
                </c:pt>
                <c:pt idx="223">
                  <c:v>1924305</c:v>
                </c:pt>
                <c:pt idx="224">
                  <c:v>1039124</c:v>
                </c:pt>
                <c:pt idx="225">
                  <c:v>1148770</c:v>
                </c:pt>
                <c:pt idx="226">
                  <c:v>928556</c:v>
                </c:pt>
                <c:pt idx="227">
                  <c:v>1998878</c:v>
                </c:pt>
                <c:pt idx="228">
                  <c:v>1024842</c:v>
                </c:pt>
                <c:pt idx="229">
                  <c:v>1043704</c:v>
                </c:pt>
                <c:pt idx="230">
                  <c:v>792535</c:v>
                </c:pt>
                <c:pt idx="231">
                  <c:v>2155073</c:v>
                </c:pt>
                <c:pt idx="232">
                  <c:v>1298291</c:v>
                </c:pt>
                <c:pt idx="233">
                  <c:v>718710</c:v>
                </c:pt>
                <c:pt idx="234">
                  <c:v>717340</c:v>
                </c:pt>
                <c:pt idx="235">
                  <c:v>1377832</c:v>
                </c:pt>
                <c:pt idx="236">
                  <c:v>717204</c:v>
                </c:pt>
                <c:pt idx="237">
                  <c:v>921810</c:v>
                </c:pt>
                <c:pt idx="238">
                  <c:v>914255</c:v>
                </c:pt>
                <c:pt idx="239">
                  <c:v>953448</c:v>
                </c:pt>
                <c:pt idx="240">
                  <c:v>1264180</c:v>
                </c:pt>
                <c:pt idx="241">
                  <c:v>1314626</c:v>
                </c:pt>
                <c:pt idx="242">
                  <c:v>1116921</c:v>
                </c:pt>
                <c:pt idx="243">
                  <c:v>1197932</c:v>
                </c:pt>
                <c:pt idx="244">
                  <c:v>958672</c:v>
                </c:pt>
                <c:pt idx="245">
                  <c:v>853384</c:v>
                </c:pt>
                <c:pt idx="246">
                  <c:v>830608</c:v>
                </c:pt>
                <c:pt idx="247">
                  <c:v>1045702</c:v>
                </c:pt>
                <c:pt idx="248">
                  <c:v>1278342</c:v>
                </c:pt>
                <c:pt idx="249">
                  <c:v>415627</c:v>
                </c:pt>
                <c:pt idx="250">
                  <c:v>205832</c:v>
                </c:pt>
                <c:pt idx="251">
                  <c:v>425299</c:v>
                </c:pt>
                <c:pt idx="252">
                  <c:v>192556</c:v>
                </c:pt>
                <c:pt idx="253">
                  <c:v>255236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6-3742-B9D7-614BB21E2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118207"/>
        <c:axId val="991620255"/>
      </c:lineChart>
      <c:lineChart>
        <c:grouping val="standard"/>
        <c:varyColors val="0"/>
        <c:ser>
          <c:idx val="0"/>
          <c:order val="1"/>
          <c:tx>
            <c:strRef>
              <c:f>'Stock close price vs Volume'!$B$1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0"/>
            <c:marker>
              <c:symbol val="circle"/>
              <c:size val="14"/>
              <c:spPr>
                <a:solidFill>
                  <a:schemeClr val="tx2">
                    <a:lumMod val="50000"/>
                    <a:lumOff val="50000"/>
                    <a:alpha val="3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031-0D4E-82BA-0E97C581699C}"/>
              </c:ext>
            </c:extLst>
          </c:dPt>
          <c:dPt>
            <c:idx val="52"/>
            <c:marker>
              <c:symbol val="circle"/>
              <c:size val="14"/>
              <c:spPr>
                <a:solidFill>
                  <a:schemeClr val="tx2">
                    <a:lumMod val="50000"/>
                    <a:lumOff val="50000"/>
                    <a:alpha val="3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031-0D4E-82BA-0E97C581699C}"/>
              </c:ext>
            </c:extLst>
          </c:dPt>
          <c:dPt>
            <c:idx val="119"/>
            <c:marker>
              <c:symbol val="circle"/>
              <c:size val="14"/>
              <c:spPr>
                <a:solidFill>
                  <a:schemeClr val="tx2">
                    <a:lumMod val="50000"/>
                    <a:lumOff val="50000"/>
                    <a:alpha val="3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031-0D4E-82BA-0E97C581699C}"/>
              </c:ext>
            </c:extLst>
          </c:dPt>
          <c:dPt>
            <c:idx val="142"/>
            <c:marker>
              <c:symbol val="circle"/>
              <c:size val="14"/>
              <c:spPr>
                <a:solidFill>
                  <a:schemeClr val="tx2">
                    <a:lumMod val="50000"/>
                    <a:lumOff val="50000"/>
                    <a:alpha val="3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031-0D4E-82BA-0E97C581699C}"/>
              </c:ext>
            </c:extLst>
          </c:dPt>
          <c:dPt>
            <c:idx val="203"/>
            <c:marker>
              <c:symbol val="circle"/>
              <c:size val="14"/>
              <c:spPr>
                <a:solidFill>
                  <a:schemeClr val="tx2">
                    <a:lumMod val="50000"/>
                    <a:lumOff val="50000"/>
                    <a:alpha val="3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031-0D4E-82BA-0E97C581699C}"/>
              </c:ext>
            </c:extLst>
          </c:dPt>
          <c:dLbls>
            <c:dLbl>
              <c:idx val="0"/>
              <c:layout>
                <c:manualLayout>
                  <c:x val="1.0667388838540017E-2"/>
                  <c:y val="-8.3508681190035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741-4FD9-827D-CD94733A3D3A}"/>
                </c:ext>
              </c:extLst>
            </c:dLbl>
            <c:dLbl>
              <c:idx val="140"/>
              <c:layout>
                <c:manualLayout>
                  <c:x val="-4.0816326530612242E-2"/>
                  <c:y val="-3.9381153305203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741-4FD9-827D-CD94733A3D3A}"/>
                </c:ext>
              </c:extLst>
            </c:dLbl>
            <c:dLbl>
              <c:idx val="187"/>
              <c:layout>
                <c:manualLayout>
                  <c:x val="-3.6834245893479341E-2"/>
                  <c:y val="-5.0632911392405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41-4FD9-827D-CD94733A3D3A}"/>
                </c:ext>
              </c:extLst>
            </c:dLbl>
            <c:dLbl>
              <c:idx val="202"/>
              <c:layout>
                <c:manualLayout>
                  <c:x val="-4.479840716774515E-2"/>
                  <c:y val="-6.1884669479606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741-4FD9-827D-CD94733A3D3A}"/>
                </c:ext>
              </c:extLst>
            </c:dLbl>
            <c:dLbl>
              <c:idx val="214"/>
              <c:layout>
                <c:manualLayout>
                  <c:x val="0"/>
                  <c:y val="3.18799812470698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41-4FD9-827D-CD94733A3D3A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15C9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'Stock close price vs Volume'!$A$2:$A$255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close price vs Volume'!$B$2:$B$256</c:f>
              <c:numCache>
                <c:formatCode>#,##0.00##</c:formatCode>
                <c:ptCount val="255"/>
                <c:pt idx="0">
                  <c:v>20.45</c:v>
                </c:pt>
                <c:pt idx="1">
                  <c:v>20.32</c:v>
                </c:pt>
                <c:pt idx="2">
                  <c:v>20.02</c:v>
                </c:pt>
                <c:pt idx="3">
                  <c:v>19.98</c:v>
                </c:pt>
                <c:pt idx="4">
                  <c:v>19.86</c:v>
                </c:pt>
                <c:pt idx="5">
                  <c:v>20.39</c:v>
                </c:pt>
                <c:pt idx="6">
                  <c:v>20.56</c:v>
                </c:pt>
                <c:pt idx="7">
                  <c:v>20.7</c:v>
                </c:pt>
                <c:pt idx="8">
                  <c:v>20.43</c:v>
                </c:pt>
                <c:pt idx="9">
                  <c:v>20.55</c:v>
                </c:pt>
                <c:pt idx="10">
                  <c:v>20.55</c:v>
                </c:pt>
                <c:pt idx="11">
                  <c:v>20.5</c:v>
                </c:pt>
                <c:pt idx="12">
                  <c:v>20.63</c:v>
                </c:pt>
                <c:pt idx="13">
                  <c:v>21.03</c:v>
                </c:pt>
                <c:pt idx="14">
                  <c:v>21.15</c:v>
                </c:pt>
                <c:pt idx="15">
                  <c:v>21.08</c:v>
                </c:pt>
                <c:pt idx="16">
                  <c:v>21.04</c:v>
                </c:pt>
                <c:pt idx="17">
                  <c:v>21.01</c:v>
                </c:pt>
                <c:pt idx="18">
                  <c:v>21.18</c:v>
                </c:pt>
                <c:pt idx="19">
                  <c:v>21.04</c:v>
                </c:pt>
                <c:pt idx="20">
                  <c:v>21.29</c:v>
                </c:pt>
                <c:pt idx="21">
                  <c:v>21.29</c:v>
                </c:pt>
                <c:pt idx="22">
                  <c:v>21.57</c:v>
                </c:pt>
                <c:pt idx="23">
                  <c:v>21.6</c:v>
                </c:pt>
                <c:pt idx="24">
                  <c:v>21.78</c:v>
                </c:pt>
                <c:pt idx="25">
                  <c:v>21.85</c:v>
                </c:pt>
                <c:pt idx="26">
                  <c:v>21.73</c:v>
                </c:pt>
                <c:pt idx="27">
                  <c:v>21.56</c:v>
                </c:pt>
                <c:pt idx="28">
                  <c:v>21.48</c:v>
                </c:pt>
                <c:pt idx="29">
                  <c:v>21.37</c:v>
                </c:pt>
                <c:pt idx="30">
                  <c:v>21.37</c:v>
                </c:pt>
                <c:pt idx="31">
                  <c:v>21.77</c:v>
                </c:pt>
                <c:pt idx="32">
                  <c:v>21.73</c:v>
                </c:pt>
                <c:pt idx="33">
                  <c:v>21.7</c:v>
                </c:pt>
                <c:pt idx="34">
                  <c:v>21.73</c:v>
                </c:pt>
                <c:pt idx="35">
                  <c:v>21.31</c:v>
                </c:pt>
                <c:pt idx="36">
                  <c:v>21.55</c:v>
                </c:pt>
                <c:pt idx="37">
                  <c:v>21.82</c:v>
                </c:pt>
                <c:pt idx="38">
                  <c:v>21.34</c:v>
                </c:pt>
                <c:pt idx="39">
                  <c:v>21.73</c:v>
                </c:pt>
                <c:pt idx="40">
                  <c:v>20.89</c:v>
                </c:pt>
                <c:pt idx="41">
                  <c:v>21.41</c:v>
                </c:pt>
                <c:pt idx="42">
                  <c:v>21.82</c:v>
                </c:pt>
                <c:pt idx="43">
                  <c:v>21.09</c:v>
                </c:pt>
                <c:pt idx="44">
                  <c:v>20.53</c:v>
                </c:pt>
                <c:pt idx="45">
                  <c:v>20.8</c:v>
                </c:pt>
                <c:pt idx="46">
                  <c:v>21.08</c:v>
                </c:pt>
                <c:pt idx="47">
                  <c:v>21.59</c:v>
                </c:pt>
                <c:pt idx="48">
                  <c:v>21.51</c:v>
                </c:pt>
                <c:pt idx="49">
                  <c:v>21.73</c:v>
                </c:pt>
                <c:pt idx="50">
                  <c:v>21.95</c:v>
                </c:pt>
                <c:pt idx="51">
                  <c:v>21.66</c:v>
                </c:pt>
                <c:pt idx="52">
                  <c:v>21</c:v>
                </c:pt>
                <c:pt idx="53">
                  <c:v>21.16</c:v>
                </c:pt>
                <c:pt idx="54">
                  <c:v>21.02</c:v>
                </c:pt>
                <c:pt idx="55">
                  <c:v>21.22</c:v>
                </c:pt>
                <c:pt idx="56">
                  <c:v>21.32</c:v>
                </c:pt>
                <c:pt idx="57">
                  <c:v>21.03</c:v>
                </c:pt>
                <c:pt idx="58">
                  <c:v>21.24</c:v>
                </c:pt>
                <c:pt idx="59">
                  <c:v>21.47</c:v>
                </c:pt>
                <c:pt idx="60">
                  <c:v>21.44</c:v>
                </c:pt>
                <c:pt idx="61">
                  <c:v>21.85</c:v>
                </c:pt>
                <c:pt idx="62">
                  <c:v>21.69</c:v>
                </c:pt>
                <c:pt idx="63">
                  <c:v>21.12</c:v>
                </c:pt>
                <c:pt idx="64">
                  <c:v>21.56</c:v>
                </c:pt>
                <c:pt idx="65">
                  <c:v>21.15</c:v>
                </c:pt>
                <c:pt idx="66">
                  <c:v>21.65</c:v>
                </c:pt>
                <c:pt idx="67">
                  <c:v>21.26</c:v>
                </c:pt>
                <c:pt idx="68">
                  <c:v>21.43</c:v>
                </c:pt>
                <c:pt idx="69">
                  <c:v>21.36</c:v>
                </c:pt>
                <c:pt idx="70">
                  <c:v>21.36</c:v>
                </c:pt>
                <c:pt idx="71">
                  <c:v>21.23</c:v>
                </c:pt>
                <c:pt idx="72">
                  <c:v>20.89</c:v>
                </c:pt>
                <c:pt idx="73">
                  <c:v>21.06</c:v>
                </c:pt>
                <c:pt idx="74">
                  <c:v>21.04</c:v>
                </c:pt>
                <c:pt idx="75">
                  <c:v>19.989999999999998</c:v>
                </c:pt>
                <c:pt idx="76">
                  <c:v>20.27</c:v>
                </c:pt>
                <c:pt idx="77">
                  <c:v>20.99</c:v>
                </c:pt>
                <c:pt idx="78">
                  <c:v>20.75</c:v>
                </c:pt>
                <c:pt idx="79">
                  <c:v>20.99</c:v>
                </c:pt>
                <c:pt idx="80">
                  <c:v>21.19</c:v>
                </c:pt>
                <c:pt idx="81">
                  <c:v>21.21</c:v>
                </c:pt>
                <c:pt idx="82">
                  <c:v>20.88</c:v>
                </c:pt>
                <c:pt idx="83">
                  <c:v>20.47</c:v>
                </c:pt>
                <c:pt idx="84">
                  <c:v>20.5</c:v>
                </c:pt>
                <c:pt idx="85">
                  <c:v>20.059999999999999</c:v>
                </c:pt>
                <c:pt idx="86">
                  <c:v>20.59</c:v>
                </c:pt>
                <c:pt idx="87">
                  <c:v>21.05</c:v>
                </c:pt>
                <c:pt idx="88">
                  <c:v>20.64</c:v>
                </c:pt>
                <c:pt idx="89">
                  <c:v>20.420000000000002</c:v>
                </c:pt>
                <c:pt idx="90">
                  <c:v>19.84</c:v>
                </c:pt>
                <c:pt idx="91">
                  <c:v>20.59</c:v>
                </c:pt>
                <c:pt idx="92">
                  <c:v>20.62</c:v>
                </c:pt>
                <c:pt idx="93">
                  <c:v>20.7</c:v>
                </c:pt>
                <c:pt idx="94">
                  <c:v>20.39</c:v>
                </c:pt>
                <c:pt idx="95">
                  <c:v>20.440000000000001</c:v>
                </c:pt>
                <c:pt idx="96">
                  <c:v>20.65</c:v>
                </c:pt>
                <c:pt idx="97">
                  <c:v>20.34</c:v>
                </c:pt>
                <c:pt idx="98">
                  <c:v>20</c:v>
                </c:pt>
                <c:pt idx="99">
                  <c:v>19.510000000000002</c:v>
                </c:pt>
                <c:pt idx="100">
                  <c:v>19.8</c:v>
                </c:pt>
                <c:pt idx="101">
                  <c:v>19.399999999999999</c:v>
                </c:pt>
                <c:pt idx="102">
                  <c:v>18.98</c:v>
                </c:pt>
                <c:pt idx="103">
                  <c:v>19.11</c:v>
                </c:pt>
                <c:pt idx="104">
                  <c:v>18.850000000000001</c:v>
                </c:pt>
                <c:pt idx="105">
                  <c:v>18.97</c:v>
                </c:pt>
                <c:pt idx="106">
                  <c:v>18.8</c:v>
                </c:pt>
                <c:pt idx="107">
                  <c:v>19.16</c:v>
                </c:pt>
                <c:pt idx="108">
                  <c:v>19.2</c:v>
                </c:pt>
                <c:pt idx="109">
                  <c:v>19.38</c:v>
                </c:pt>
                <c:pt idx="110">
                  <c:v>19.53</c:v>
                </c:pt>
                <c:pt idx="111">
                  <c:v>19.190000000000001</c:v>
                </c:pt>
                <c:pt idx="112">
                  <c:v>19.27</c:v>
                </c:pt>
                <c:pt idx="113">
                  <c:v>19.57</c:v>
                </c:pt>
                <c:pt idx="114">
                  <c:v>19.54</c:v>
                </c:pt>
                <c:pt idx="115">
                  <c:v>19.940000000000001</c:v>
                </c:pt>
                <c:pt idx="116">
                  <c:v>19.88</c:v>
                </c:pt>
                <c:pt idx="117">
                  <c:v>19.829999999999998</c:v>
                </c:pt>
                <c:pt idx="118">
                  <c:v>19.8</c:v>
                </c:pt>
                <c:pt idx="119">
                  <c:v>19.649999999999999</c:v>
                </c:pt>
                <c:pt idx="120">
                  <c:v>19.940000000000001</c:v>
                </c:pt>
                <c:pt idx="121">
                  <c:v>19.91</c:v>
                </c:pt>
                <c:pt idx="122">
                  <c:v>20.04</c:v>
                </c:pt>
                <c:pt idx="123">
                  <c:v>20.18</c:v>
                </c:pt>
                <c:pt idx="124">
                  <c:v>19.82</c:v>
                </c:pt>
                <c:pt idx="125">
                  <c:v>19.989999999999998</c:v>
                </c:pt>
                <c:pt idx="126">
                  <c:v>20.63</c:v>
                </c:pt>
                <c:pt idx="127">
                  <c:v>21</c:v>
                </c:pt>
                <c:pt idx="128">
                  <c:v>21.5</c:v>
                </c:pt>
                <c:pt idx="129">
                  <c:v>21.36</c:v>
                </c:pt>
                <c:pt idx="130">
                  <c:v>21.34</c:v>
                </c:pt>
                <c:pt idx="131">
                  <c:v>21.4</c:v>
                </c:pt>
                <c:pt idx="132">
                  <c:v>21.61</c:v>
                </c:pt>
                <c:pt idx="133">
                  <c:v>21.95</c:v>
                </c:pt>
                <c:pt idx="134">
                  <c:v>22.56</c:v>
                </c:pt>
                <c:pt idx="135">
                  <c:v>22.04</c:v>
                </c:pt>
                <c:pt idx="136">
                  <c:v>22.24</c:v>
                </c:pt>
                <c:pt idx="137">
                  <c:v>22.19</c:v>
                </c:pt>
                <c:pt idx="138">
                  <c:v>22.66</c:v>
                </c:pt>
                <c:pt idx="139">
                  <c:v>23</c:v>
                </c:pt>
                <c:pt idx="140">
                  <c:v>23.01</c:v>
                </c:pt>
                <c:pt idx="141">
                  <c:v>21.92</c:v>
                </c:pt>
                <c:pt idx="142">
                  <c:v>21.3</c:v>
                </c:pt>
                <c:pt idx="143">
                  <c:v>21.4</c:v>
                </c:pt>
                <c:pt idx="144">
                  <c:v>21.6</c:v>
                </c:pt>
                <c:pt idx="145">
                  <c:v>21.56</c:v>
                </c:pt>
                <c:pt idx="146">
                  <c:v>22.21</c:v>
                </c:pt>
                <c:pt idx="147">
                  <c:v>21.83</c:v>
                </c:pt>
                <c:pt idx="148">
                  <c:v>21.11</c:v>
                </c:pt>
                <c:pt idx="149">
                  <c:v>20.350000000000001</c:v>
                </c:pt>
                <c:pt idx="150">
                  <c:v>20.47</c:v>
                </c:pt>
                <c:pt idx="151">
                  <c:v>20.329999999999998</c:v>
                </c:pt>
                <c:pt idx="152">
                  <c:v>20.350000000000001</c:v>
                </c:pt>
                <c:pt idx="153">
                  <c:v>20.239999999999998</c:v>
                </c:pt>
                <c:pt idx="154">
                  <c:v>20.54</c:v>
                </c:pt>
                <c:pt idx="155">
                  <c:v>20.239999999999998</c:v>
                </c:pt>
                <c:pt idx="156">
                  <c:v>20.41</c:v>
                </c:pt>
                <c:pt idx="157">
                  <c:v>20.48</c:v>
                </c:pt>
                <c:pt idx="158">
                  <c:v>20.399999999999999</c:v>
                </c:pt>
                <c:pt idx="159">
                  <c:v>20.25</c:v>
                </c:pt>
                <c:pt idx="160">
                  <c:v>20.21</c:v>
                </c:pt>
                <c:pt idx="161">
                  <c:v>20.12</c:v>
                </c:pt>
                <c:pt idx="162">
                  <c:v>19.600000000000001</c:v>
                </c:pt>
                <c:pt idx="163">
                  <c:v>19.97</c:v>
                </c:pt>
                <c:pt idx="164">
                  <c:v>19.649999999999999</c:v>
                </c:pt>
                <c:pt idx="165">
                  <c:v>19.329999999999998</c:v>
                </c:pt>
                <c:pt idx="166">
                  <c:v>20.05</c:v>
                </c:pt>
                <c:pt idx="167">
                  <c:v>20.47</c:v>
                </c:pt>
                <c:pt idx="168">
                  <c:v>20.97</c:v>
                </c:pt>
                <c:pt idx="169">
                  <c:v>21.52</c:v>
                </c:pt>
                <c:pt idx="170">
                  <c:v>21.59</c:v>
                </c:pt>
                <c:pt idx="171">
                  <c:v>21.19</c:v>
                </c:pt>
                <c:pt idx="172">
                  <c:v>21.05</c:v>
                </c:pt>
                <c:pt idx="173">
                  <c:v>20.81</c:v>
                </c:pt>
                <c:pt idx="174">
                  <c:v>20.7</c:v>
                </c:pt>
                <c:pt idx="175">
                  <c:v>20.66</c:v>
                </c:pt>
                <c:pt idx="176">
                  <c:v>20.89</c:v>
                </c:pt>
                <c:pt idx="177">
                  <c:v>20.53</c:v>
                </c:pt>
                <c:pt idx="178">
                  <c:v>20.66</c:v>
                </c:pt>
                <c:pt idx="179">
                  <c:v>20.7</c:v>
                </c:pt>
                <c:pt idx="180">
                  <c:v>20.85</c:v>
                </c:pt>
                <c:pt idx="181">
                  <c:v>20.76</c:v>
                </c:pt>
                <c:pt idx="182">
                  <c:v>21.43</c:v>
                </c:pt>
                <c:pt idx="183">
                  <c:v>21.91</c:v>
                </c:pt>
                <c:pt idx="184">
                  <c:v>21.48</c:v>
                </c:pt>
                <c:pt idx="185">
                  <c:v>21.87</c:v>
                </c:pt>
                <c:pt idx="186">
                  <c:v>21.95</c:v>
                </c:pt>
                <c:pt idx="187">
                  <c:v>22.54</c:v>
                </c:pt>
                <c:pt idx="188">
                  <c:v>22.45</c:v>
                </c:pt>
                <c:pt idx="189">
                  <c:v>22.35</c:v>
                </c:pt>
                <c:pt idx="190">
                  <c:v>22.21</c:v>
                </c:pt>
                <c:pt idx="191">
                  <c:v>21.68</c:v>
                </c:pt>
                <c:pt idx="192">
                  <c:v>21.61</c:v>
                </c:pt>
                <c:pt idx="193">
                  <c:v>21.24</c:v>
                </c:pt>
                <c:pt idx="194">
                  <c:v>21.67</c:v>
                </c:pt>
                <c:pt idx="195">
                  <c:v>21.62</c:v>
                </c:pt>
                <c:pt idx="196">
                  <c:v>21.92</c:v>
                </c:pt>
                <c:pt idx="197">
                  <c:v>21.85</c:v>
                </c:pt>
                <c:pt idx="198">
                  <c:v>21.89</c:v>
                </c:pt>
                <c:pt idx="199">
                  <c:v>21.51</c:v>
                </c:pt>
                <c:pt idx="200">
                  <c:v>21.52</c:v>
                </c:pt>
                <c:pt idx="201">
                  <c:v>21.33</c:v>
                </c:pt>
                <c:pt idx="202">
                  <c:v>21.62</c:v>
                </c:pt>
                <c:pt idx="203">
                  <c:v>17.2</c:v>
                </c:pt>
                <c:pt idx="204">
                  <c:v>17.309999999999999</c:v>
                </c:pt>
                <c:pt idx="205">
                  <c:v>16.87</c:v>
                </c:pt>
                <c:pt idx="206">
                  <c:v>16.37</c:v>
                </c:pt>
                <c:pt idx="207">
                  <c:v>15.86</c:v>
                </c:pt>
                <c:pt idx="208">
                  <c:v>15.89</c:v>
                </c:pt>
                <c:pt idx="209">
                  <c:v>15.68</c:v>
                </c:pt>
                <c:pt idx="210">
                  <c:v>15.67</c:v>
                </c:pt>
                <c:pt idx="211">
                  <c:v>15.9</c:v>
                </c:pt>
                <c:pt idx="212">
                  <c:v>15.98</c:v>
                </c:pt>
                <c:pt idx="213">
                  <c:v>15.73</c:v>
                </c:pt>
                <c:pt idx="214">
                  <c:v>15.53</c:v>
                </c:pt>
                <c:pt idx="215">
                  <c:v>15.65</c:v>
                </c:pt>
                <c:pt idx="216">
                  <c:v>15.8</c:v>
                </c:pt>
                <c:pt idx="217">
                  <c:v>16.12</c:v>
                </c:pt>
                <c:pt idx="218">
                  <c:v>16.25</c:v>
                </c:pt>
                <c:pt idx="219">
                  <c:v>16.3</c:v>
                </c:pt>
                <c:pt idx="220">
                  <c:v>16.43</c:v>
                </c:pt>
                <c:pt idx="221">
                  <c:v>16.63</c:v>
                </c:pt>
                <c:pt idx="222">
                  <c:v>17.39</c:v>
                </c:pt>
                <c:pt idx="223">
                  <c:v>17.329999999999998</c:v>
                </c:pt>
                <c:pt idx="224">
                  <c:v>17.16</c:v>
                </c:pt>
                <c:pt idx="225">
                  <c:v>17.48</c:v>
                </c:pt>
                <c:pt idx="226">
                  <c:v>17.21</c:v>
                </c:pt>
                <c:pt idx="227">
                  <c:v>16.98</c:v>
                </c:pt>
                <c:pt idx="228">
                  <c:v>17</c:v>
                </c:pt>
                <c:pt idx="229">
                  <c:v>16.93</c:v>
                </c:pt>
                <c:pt idx="230">
                  <c:v>16.7</c:v>
                </c:pt>
                <c:pt idx="231">
                  <c:v>17.13</c:v>
                </c:pt>
                <c:pt idx="232">
                  <c:v>17.39</c:v>
                </c:pt>
                <c:pt idx="233">
                  <c:v>17.510000000000002</c:v>
                </c:pt>
                <c:pt idx="234">
                  <c:v>17.329999999999998</c:v>
                </c:pt>
                <c:pt idx="235">
                  <c:v>17.059999999999999</c:v>
                </c:pt>
                <c:pt idx="236">
                  <c:v>17</c:v>
                </c:pt>
                <c:pt idx="237">
                  <c:v>16.87</c:v>
                </c:pt>
                <c:pt idx="238">
                  <c:v>16.920000000000002</c:v>
                </c:pt>
                <c:pt idx="239">
                  <c:v>16.690000000000001</c:v>
                </c:pt>
                <c:pt idx="240">
                  <c:v>16.399999999999999</c:v>
                </c:pt>
                <c:pt idx="241">
                  <c:v>16.23</c:v>
                </c:pt>
                <c:pt idx="242">
                  <c:v>16.149999999999999</c:v>
                </c:pt>
                <c:pt idx="243">
                  <c:v>16.36</c:v>
                </c:pt>
                <c:pt idx="244">
                  <c:v>16.47</c:v>
                </c:pt>
                <c:pt idx="245">
                  <c:v>16.649999999999999</c:v>
                </c:pt>
                <c:pt idx="246">
                  <c:v>16.52</c:v>
                </c:pt>
                <c:pt idx="247">
                  <c:v>16.3</c:v>
                </c:pt>
                <c:pt idx="248">
                  <c:v>16.239999999999998</c:v>
                </c:pt>
                <c:pt idx="249">
                  <c:v>16.489999999999998</c:v>
                </c:pt>
                <c:pt idx="250">
                  <c:v>16.45</c:v>
                </c:pt>
                <c:pt idx="251">
                  <c:v>16.72</c:v>
                </c:pt>
                <c:pt idx="252">
                  <c:v>16.71</c:v>
                </c:pt>
                <c:pt idx="253">
                  <c:v>16.68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6-3742-B9D7-614BB21E2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421575"/>
        <c:axId val="1317414407"/>
      </c:lineChart>
      <c:dateAx>
        <c:axId val="9911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91620255"/>
        <c:crosses val="autoZero"/>
        <c:auto val="0"/>
        <c:lblOffset val="100"/>
        <c:baseTimeUnit val="days"/>
        <c:majorUnit val="10"/>
      </c:dateAx>
      <c:valAx>
        <c:axId val="9916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solidFill>
              <a:srgbClr val="E97132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E9713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91118207"/>
        <c:crosses val="autoZero"/>
        <c:crossBetween val="between"/>
      </c:valAx>
      <c:valAx>
        <c:axId val="1317414407"/>
        <c:scaling>
          <c:orientation val="minMax"/>
        </c:scaling>
        <c:delete val="0"/>
        <c:axPos val="r"/>
        <c:numFmt formatCode="#,##0.00##" sourceLinked="1"/>
        <c:majorTickMark val="out"/>
        <c:minorTickMark val="none"/>
        <c:tickLblPos val="nextTo"/>
        <c:spPr>
          <a:solidFill>
            <a:srgbClr val="FFFFFF"/>
          </a:solidFill>
          <a:ln>
            <a:solidFill>
              <a:srgbClr val="153D64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153D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21575"/>
        <c:crosses val="max"/>
        <c:crossBetween val="between"/>
      </c:valAx>
      <c:catAx>
        <c:axId val="1317421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414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Stock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tockChart>
        <c:ser>
          <c:idx val="0"/>
          <c:order val="0"/>
          <c:tx>
            <c:strRef>
              <c:f>'Stock movement '!$B$1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'Stock movement 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movement '!$B$2:$B$255</c:f>
              <c:numCache>
                <c:formatCode>#,##0.00##</c:formatCode>
                <c:ptCount val="254"/>
                <c:pt idx="0">
                  <c:v>20.32</c:v>
                </c:pt>
                <c:pt idx="1">
                  <c:v>20.190000000000001</c:v>
                </c:pt>
                <c:pt idx="2">
                  <c:v>20.21</c:v>
                </c:pt>
                <c:pt idx="3">
                  <c:v>20.05</c:v>
                </c:pt>
                <c:pt idx="4">
                  <c:v>19.989999999999998</c:v>
                </c:pt>
                <c:pt idx="5">
                  <c:v>20.079999999999998</c:v>
                </c:pt>
                <c:pt idx="6">
                  <c:v>20.28</c:v>
                </c:pt>
                <c:pt idx="7">
                  <c:v>20.66</c:v>
                </c:pt>
                <c:pt idx="8">
                  <c:v>20.54</c:v>
                </c:pt>
                <c:pt idx="9">
                  <c:v>20.309999999999999</c:v>
                </c:pt>
                <c:pt idx="10">
                  <c:v>20.59</c:v>
                </c:pt>
                <c:pt idx="11">
                  <c:v>20.55</c:v>
                </c:pt>
                <c:pt idx="12">
                  <c:v>20.46</c:v>
                </c:pt>
                <c:pt idx="13">
                  <c:v>20.9</c:v>
                </c:pt>
                <c:pt idx="14">
                  <c:v>21.07</c:v>
                </c:pt>
                <c:pt idx="15">
                  <c:v>21.14</c:v>
                </c:pt>
                <c:pt idx="16">
                  <c:v>21.05</c:v>
                </c:pt>
                <c:pt idx="17">
                  <c:v>21.11</c:v>
                </c:pt>
                <c:pt idx="18">
                  <c:v>20.97</c:v>
                </c:pt>
                <c:pt idx="19">
                  <c:v>21.19</c:v>
                </c:pt>
                <c:pt idx="20">
                  <c:v>21.04</c:v>
                </c:pt>
                <c:pt idx="21">
                  <c:v>21.24</c:v>
                </c:pt>
                <c:pt idx="22">
                  <c:v>21.39</c:v>
                </c:pt>
                <c:pt idx="23">
                  <c:v>21.55</c:v>
                </c:pt>
                <c:pt idx="24">
                  <c:v>21.49</c:v>
                </c:pt>
                <c:pt idx="25">
                  <c:v>21.78</c:v>
                </c:pt>
                <c:pt idx="26">
                  <c:v>21.86</c:v>
                </c:pt>
                <c:pt idx="27">
                  <c:v>21.63</c:v>
                </c:pt>
                <c:pt idx="28">
                  <c:v>21.6</c:v>
                </c:pt>
                <c:pt idx="29">
                  <c:v>21.45</c:v>
                </c:pt>
                <c:pt idx="30">
                  <c:v>21.2</c:v>
                </c:pt>
                <c:pt idx="31">
                  <c:v>21.45</c:v>
                </c:pt>
                <c:pt idx="32">
                  <c:v>21.84</c:v>
                </c:pt>
                <c:pt idx="33">
                  <c:v>21.64</c:v>
                </c:pt>
                <c:pt idx="34">
                  <c:v>21.65</c:v>
                </c:pt>
                <c:pt idx="35">
                  <c:v>21.5</c:v>
                </c:pt>
                <c:pt idx="36">
                  <c:v>21.2</c:v>
                </c:pt>
                <c:pt idx="37">
                  <c:v>21.5</c:v>
                </c:pt>
                <c:pt idx="38">
                  <c:v>21.83</c:v>
                </c:pt>
                <c:pt idx="39">
                  <c:v>21.34</c:v>
                </c:pt>
                <c:pt idx="40">
                  <c:v>21.36</c:v>
                </c:pt>
                <c:pt idx="41">
                  <c:v>20.65</c:v>
                </c:pt>
                <c:pt idx="42">
                  <c:v>21.25</c:v>
                </c:pt>
                <c:pt idx="43">
                  <c:v>21.2</c:v>
                </c:pt>
                <c:pt idx="44">
                  <c:v>20.76</c:v>
                </c:pt>
                <c:pt idx="45">
                  <c:v>20.55</c:v>
                </c:pt>
                <c:pt idx="46">
                  <c:v>20.67</c:v>
                </c:pt>
                <c:pt idx="47">
                  <c:v>20.98</c:v>
                </c:pt>
                <c:pt idx="48">
                  <c:v>21.21</c:v>
                </c:pt>
                <c:pt idx="49">
                  <c:v>21.38</c:v>
                </c:pt>
                <c:pt idx="50">
                  <c:v>21.85</c:v>
                </c:pt>
                <c:pt idx="51">
                  <c:v>21.91</c:v>
                </c:pt>
                <c:pt idx="52">
                  <c:v>21.44</c:v>
                </c:pt>
                <c:pt idx="53">
                  <c:v>20.95</c:v>
                </c:pt>
                <c:pt idx="54">
                  <c:v>21.09</c:v>
                </c:pt>
                <c:pt idx="55">
                  <c:v>21.03</c:v>
                </c:pt>
                <c:pt idx="56">
                  <c:v>21.43</c:v>
                </c:pt>
                <c:pt idx="57">
                  <c:v>21.1</c:v>
                </c:pt>
                <c:pt idx="58">
                  <c:v>21.09</c:v>
                </c:pt>
                <c:pt idx="59">
                  <c:v>21.11</c:v>
                </c:pt>
                <c:pt idx="60">
                  <c:v>21.2</c:v>
                </c:pt>
                <c:pt idx="61">
                  <c:v>21.5</c:v>
                </c:pt>
                <c:pt idx="62">
                  <c:v>21.6</c:v>
                </c:pt>
                <c:pt idx="63">
                  <c:v>21.59</c:v>
                </c:pt>
                <c:pt idx="64">
                  <c:v>21.24</c:v>
                </c:pt>
                <c:pt idx="65">
                  <c:v>21.33</c:v>
                </c:pt>
                <c:pt idx="66">
                  <c:v>21.26</c:v>
                </c:pt>
                <c:pt idx="67">
                  <c:v>21.21</c:v>
                </c:pt>
                <c:pt idx="68">
                  <c:v>21.3</c:v>
                </c:pt>
                <c:pt idx="69">
                  <c:v>21.05</c:v>
                </c:pt>
                <c:pt idx="70">
                  <c:v>21.26</c:v>
                </c:pt>
                <c:pt idx="71">
                  <c:v>21.14</c:v>
                </c:pt>
                <c:pt idx="72">
                  <c:v>21.06</c:v>
                </c:pt>
                <c:pt idx="73">
                  <c:v>20.99</c:v>
                </c:pt>
                <c:pt idx="74">
                  <c:v>20.95</c:v>
                </c:pt>
                <c:pt idx="75">
                  <c:v>20.95</c:v>
                </c:pt>
                <c:pt idx="76">
                  <c:v>20.39</c:v>
                </c:pt>
                <c:pt idx="77">
                  <c:v>20.29</c:v>
                </c:pt>
                <c:pt idx="78">
                  <c:v>21.08</c:v>
                </c:pt>
                <c:pt idx="79">
                  <c:v>20.79</c:v>
                </c:pt>
                <c:pt idx="80">
                  <c:v>21.1</c:v>
                </c:pt>
                <c:pt idx="81">
                  <c:v>21.22</c:v>
                </c:pt>
                <c:pt idx="82">
                  <c:v>21.06</c:v>
                </c:pt>
                <c:pt idx="83">
                  <c:v>20.83</c:v>
                </c:pt>
                <c:pt idx="84">
                  <c:v>20.65</c:v>
                </c:pt>
                <c:pt idx="85">
                  <c:v>20.48</c:v>
                </c:pt>
                <c:pt idx="86">
                  <c:v>20.18</c:v>
                </c:pt>
                <c:pt idx="87">
                  <c:v>20.68</c:v>
                </c:pt>
                <c:pt idx="88">
                  <c:v>20.9</c:v>
                </c:pt>
                <c:pt idx="89">
                  <c:v>20.55</c:v>
                </c:pt>
                <c:pt idx="90">
                  <c:v>20.36</c:v>
                </c:pt>
                <c:pt idx="91">
                  <c:v>19.91</c:v>
                </c:pt>
                <c:pt idx="92">
                  <c:v>20.68</c:v>
                </c:pt>
                <c:pt idx="93">
                  <c:v>20.77</c:v>
                </c:pt>
                <c:pt idx="94">
                  <c:v>20.54</c:v>
                </c:pt>
                <c:pt idx="95">
                  <c:v>20.440000000000001</c:v>
                </c:pt>
                <c:pt idx="96">
                  <c:v>20.399999999999999</c:v>
                </c:pt>
                <c:pt idx="97">
                  <c:v>20.67</c:v>
                </c:pt>
                <c:pt idx="98">
                  <c:v>20.28</c:v>
                </c:pt>
                <c:pt idx="99">
                  <c:v>19.760000000000002</c:v>
                </c:pt>
                <c:pt idx="100">
                  <c:v>19.649999999999999</c:v>
                </c:pt>
                <c:pt idx="101">
                  <c:v>19.79</c:v>
                </c:pt>
                <c:pt idx="102">
                  <c:v>19.16</c:v>
                </c:pt>
                <c:pt idx="103">
                  <c:v>18.940000000000001</c:v>
                </c:pt>
                <c:pt idx="104">
                  <c:v>19.2</c:v>
                </c:pt>
                <c:pt idx="105">
                  <c:v>19.04</c:v>
                </c:pt>
                <c:pt idx="106">
                  <c:v>18.920000000000002</c:v>
                </c:pt>
                <c:pt idx="107">
                  <c:v>18.829999999999998</c:v>
                </c:pt>
                <c:pt idx="108">
                  <c:v>19.2</c:v>
                </c:pt>
                <c:pt idx="109">
                  <c:v>19.260000000000002</c:v>
                </c:pt>
                <c:pt idx="110">
                  <c:v>19.29</c:v>
                </c:pt>
                <c:pt idx="111">
                  <c:v>19.579999999999998</c:v>
                </c:pt>
                <c:pt idx="112">
                  <c:v>19.399999999999999</c:v>
                </c:pt>
                <c:pt idx="113">
                  <c:v>19.25</c:v>
                </c:pt>
                <c:pt idx="114">
                  <c:v>19.5</c:v>
                </c:pt>
                <c:pt idx="115">
                  <c:v>19.68</c:v>
                </c:pt>
                <c:pt idx="116">
                  <c:v>19.98</c:v>
                </c:pt>
                <c:pt idx="117">
                  <c:v>19.829999999999998</c:v>
                </c:pt>
                <c:pt idx="118">
                  <c:v>19.86</c:v>
                </c:pt>
                <c:pt idx="119">
                  <c:v>19.850000000000001</c:v>
                </c:pt>
                <c:pt idx="120">
                  <c:v>19.82</c:v>
                </c:pt>
                <c:pt idx="121">
                  <c:v>19.809999999999999</c:v>
                </c:pt>
                <c:pt idx="122">
                  <c:v>19.62</c:v>
                </c:pt>
                <c:pt idx="123">
                  <c:v>20.05</c:v>
                </c:pt>
                <c:pt idx="124">
                  <c:v>20.079999999999998</c:v>
                </c:pt>
                <c:pt idx="125">
                  <c:v>19.78</c:v>
                </c:pt>
                <c:pt idx="126">
                  <c:v>20.11</c:v>
                </c:pt>
                <c:pt idx="127">
                  <c:v>20.59</c:v>
                </c:pt>
                <c:pt idx="128">
                  <c:v>20.98</c:v>
                </c:pt>
                <c:pt idx="129">
                  <c:v>21.49</c:v>
                </c:pt>
                <c:pt idx="130">
                  <c:v>21.3</c:v>
                </c:pt>
                <c:pt idx="131">
                  <c:v>21.3</c:v>
                </c:pt>
                <c:pt idx="132">
                  <c:v>21.6</c:v>
                </c:pt>
                <c:pt idx="133">
                  <c:v>21.74</c:v>
                </c:pt>
                <c:pt idx="134">
                  <c:v>22.2</c:v>
                </c:pt>
                <c:pt idx="135">
                  <c:v>22.57</c:v>
                </c:pt>
                <c:pt idx="136">
                  <c:v>22.37</c:v>
                </c:pt>
                <c:pt idx="137">
                  <c:v>22.23</c:v>
                </c:pt>
                <c:pt idx="138">
                  <c:v>22.34</c:v>
                </c:pt>
                <c:pt idx="139">
                  <c:v>22.78</c:v>
                </c:pt>
                <c:pt idx="140">
                  <c:v>23.01</c:v>
                </c:pt>
                <c:pt idx="141">
                  <c:v>21.65</c:v>
                </c:pt>
                <c:pt idx="142">
                  <c:v>21.89</c:v>
                </c:pt>
                <c:pt idx="143">
                  <c:v>21.49</c:v>
                </c:pt>
                <c:pt idx="144">
                  <c:v>21.63</c:v>
                </c:pt>
                <c:pt idx="145">
                  <c:v>21.41</c:v>
                </c:pt>
                <c:pt idx="146">
                  <c:v>21.68</c:v>
                </c:pt>
                <c:pt idx="147">
                  <c:v>22.14</c:v>
                </c:pt>
                <c:pt idx="148">
                  <c:v>21.42</c:v>
                </c:pt>
                <c:pt idx="149">
                  <c:v>20.8</c:v>
                </c:pt>
                <c:pt idx="150">
                  <c:v>20.3</c:v>
                </c:pt>
                <c:pt idx="151">
                  <c:v>20.46</c:v>
                </c:pt>
                <c:pt idx="152">
                  <c:v>20.25</c:v>
                </c:pt>
                <c:pt idx="153">
                  <c:v>20.5</c:v>
                </c:pt>
                <c:pt idx="154">
                  <c:v>20.399999999999999</c:v>
                </c:pt>
                <c:pt idx="155">
                  <c:v>20.45</c:v>
                </c:pt>
                <c:pt idx="156">
                  <c:v>20.5</c:v>
                </c:pt>
                <c:pt idx="157">
                  <c:v>20.350000000000001</c:v>
                </c:pt>
                <c:pt idx="158">
                  <c:v>20.63</c:v>
                </c:pt>
                <c:pt idx="159">
                  <c:v>20.3</c:v>
                </c:pt>
                <c:pt idx="160">
                  <c:v>20.260000000000002</c:v>
                </c:pt>
                <c:pt idx="161">
                  <c:v>20.09</c:v>
                </c:pt>
                <c:pt idx="162">
                  <c:v>20.2</c:v>
                </c:pt>
                <c:pt idx="163">
                  <c:v>19.64</c:v>
                </c:pt>
                <c:pt idx="164">
                  <c:v>20.100000000000001</c:v>
                </c:pt>
                <c:pt idx="165">
                  <c:v>19.43</c:v>
                </c:pt>
                <c:pt idx="166">
                  <c:v>19.760000000000002</c:v>
                </c:pt>
                <c:pt idx="167">
                  <c:v>20.420000000000002</c:v>
                </c:pt>
                <c:pt idx="168">
                  <c:v>20.420000000000002</c:v>
                </c:pt>
                <c:pt idx="169">
                  <c:v>20.88</c:v>
                </c:pt>
                <c:pt idx="170">
                  <c:v>21.28</c:v>
                </c:pt>
                <c:pt idx="171">
                  <c:v>21.35</c:v>
                </c:pt>
                <c:pt idx="172">
                  <c:v>21.17</c:v>
                </c:pt>
                <c:pt idx="173">
                  <c:v>21.06</c:v>
                </c:pt>
                <c:pt idx="174">
                  <c:v>20.5</c:v>
                </c:pt>
                <c:pt idx="175">
                  <c:v>20.81</c:v>
                </c:pt>
                <c:pt idx="176">
                  <c:v>20.69</c:v>
                </c:pt>
                <c:pt idx="177">
                  <c:v>20.98</c:v>
                </c:pt>
                <c:pt idx="178">
                  <c:v>20.62</c:v>
                </c:pt>
                <c:pt idx="179">
                  <c:v>20.75</c:v>
                </c:pt>
                <c:pt idx="180">
                  <c:v>20.69</c:v>
                </c:pt>
                <c:pt idx="181">
                  <c:v>20.47</c:v>
                </c:pt>
                <c:pt idx="182">
                  <c:v>20.87</c:v>
                </c:pt>
                <c:pt idx="183">
                  <c:v>21.4</c:v>
                </c:pt>
                <c:pt idx="184">
                  <c:v>21.55</c:v>
                </c:pt>
                <c:pt idx="185">
                  <c:v>21.48</c:v>
                </c:pt>
                <c:pt idx="186">
                  <c:v>21.87</c:v>
                </c:pt>
                <c:pt idx="187">
                  <c:v>21.95</c:v>
                </c:pt>
                <c:pt idx="188">
                  <c:v>22.54</c:v>
                </c:pt>
                <c:pt idx="189">
                  <c:v>22.41</c:v>
                </c:pt>
                <c:pt idx="190">
                  <c:v>22.18</c:v>
                </c:pt>
                <c:pt idx="191">
                  <c:v>22.1</c:v>
                </c:pt>
                <c:pt idx="192">
                  <c:v>21.76</c:v>
                </c:pt>
                <c:pt idx="193">
                  <c:v>21.5</c:v>
                </c:pt>
                <c:pt idx="194">
                  <c:v>21.4</c:v>
                </c:pt>
                <c:pt idx="195">
                  <c:v>21.4</c:v>
                </c:pt>
                <c:pt idx="196">
                  <c:v>21.6</c:v>
                </c:pt>
                <c:pt idx="197">
                  <c:v>21.99</c:v>
                </c:pt>
                <c:pt idx="198">
                  <c:v>21.7</c:v>
                </c:pt>
                <c:pt idx="199">
                  <c:v>21.85</c:v>
                </c:pt>
                <c:pt idx="200">
                  <c:v>21.61</c:v>
                </c:pt>
                <c:pt idx="201">
                  <c:v>21.41</c:v>
                </c:pt>
                <c:pt idx="202">
                  <c:v>21.6</c:v>
                </c:pt>
                <c:pt idx="203">
                  <c:v>19.760000000000002</c:v>
                </c:pt>
                <c:pt idx="204">
                  <c:v>17.239999999999998</c:v>
                </c:pt>
                <c:pt idx="205">
                  <c:v>17.350000000000001</c:v>
                </c:pt>
                <c:pt idx="206">
                  <c:v>17.02</c:v>
                </c:pt>
                <c:pt idx="207">
                  <c:v>16.38</c:v>
                </c:pt>
                <c:pt idx="208">
                  <c:v>16.04</c:v>
                </c:pt>
                <c:pt idx="209">
                  <c:v>16.02</c:v>
                </c:pt>
                <c:pt idx="210">
                  <c:v>15.8</c:v>
                </c:pt>
                <c:pt idx="211">
                  <c:v>15.72</c:v>
                </c:pt>
                <c:pt idx="212">
                  <c:v>15.92</c:v>
                </c:pt>
                <c:pt idx="213">
                  <c:v>15.88</c:v>
                </c:pt>
                <c:pt idx="214">
                  <c:v>15.75</c:v>
                </c:pt>
                <c:pt idx="215">
                  <c:v>15.58</c:v>
                </c:pt>
                <c:pt idx="216">
                  <c:v>15.67</c:v>
                </c:pt>
                <c:pt idx="217">
                  <c:v>15.9</c:v>
                </c:pt>
                <c:pt idx="218">
                  <c:v>16.2</c:v>
                </c:pt>
                <c:pt idx="219">
                  <c:v>16.28</c:v>
                </c:pt>
                <c:pt idx="220">
                  <c:v>16.38</c:v>
                </c:pt>
                <c:pt idx="221">
                  <c:v>16.3</c:v>
                </c:pt>
                <c:pt idx="222">
                  <c:v>16.47</c:v>
                </c:pt>
                <c:pt idx="223">
                  <c:v>17.3</c:v>
                </c:pt>
                <c:pt idx="224">
                  <c:v>17.32</c:v>
                </c:pt>
                <c:pt idx="225">
                  <c:v>17.079999999999998</c:v>
                </c:pt>
                <c:pt idx="226">
                  <c:v>17.329999999999998</c:v>
                </c:pt>
                <c:pt idx="227">
                  <c:v>17.2</c:v>
                </c:pt>
                <c:pt idx="228">
                  <c:v>17.010000000000002</c:v>
                </c:pt>
                <c:pt idx="229">
                  <c:v>17.170000000000002</c:v>
                </c:pt>
                <c:pt idx="230">
                  <c:v>17.04</c:v>
                </c:pt>
                <c:pt idx="231">
                  <c:v>17.03</c:v>
                </c:pt>
                <c:pt idx="232">
                  <c:v>17.13</c:v>
                </c:pt>
                <c:pt idx="233">
                  <c:v>17.48</c:v>
                </c:pt>
                <c:pt idx="234">
                  <c:v>17.53</c:v>
                </c:pt>
                <c:pt idx="235">
                  <c:v>17.43</c:v>
                </c:pt>
                <c:pt idx="236">
                  <c:v>17.059999999999999</c:v>
                </c:pt>
                <c:pt idx="237">
                  <c:v>17.05</c:v>
                </c:pt>
                <c:pt idx="238">
                  <c:v>16.72</c:v>
                </c:pt>
                <c:pt idx="239">
                  <c:v>16.7</c:v>
                </c:pt>
                <c:pt idx="240">
                  <c:v>16.670000000000002</c:v>
                </c:pt>
                <c:pt idx="241">
                  <c:v>16.45</c:v>
                </c:pt>
                <c:pt idx="242">
                  <c:v>16.23</c:v>
                </c:pt>
                <c:pt idx="243">
                  <c:v>16.100000000000001</c:v>
                </c:pt>
                <c:pt idx="244">
                  <c:v>16.45</c:v>
                </c:pt>
                <c:pt idx="245">
                  <c:v>16.3</c:v>
                </c:pt>
                <c:pt idx="246">
                  <c:v>16.55</c:v>
                </c:pt>
                <c:pt idx="247">
                  <c:v>16.5</c:v>
                </c:pt>
                <c:pt idx="248">
                  <c:v>16.420000000000002</c:v>
                </c:pt>
                <c:pt idx="249">
                  <c:v>16.239999999999998</c:v>
                </c:pt>
                <c:pt idx="250">
                  <c:v>16.440000000000001</c:v>
                </c:pt>
                <c:pt idx="251">
                  <c:v>16.48</c:v>
                </c:pt>
                <c:pt idx="252">
                  <c:v>16.7</c:v>
                </c:pt>
                <c:pt idx="25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4-D44F-973F-6C152CA37E8A}"/>
            </c:ext>
          </c:extLst>
        </c:ser>
        <c:ser>
          <c:idx val="1"/>
          <c:order val="1"/>
          <c:tx>
            <c:strRef>
              <c:f>'Stock movement '!$C$1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'Stock movement 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movement '!$C$2:$C$255</c:f>
              <c:numCache>
                <c:formatCode>#,##0.00##</c:formatCode>
                <c:ptCount val="254"/>
                <c:pt idx="0">
                  <c:v>20.56</c:v>
                </c:pt>
                <c:pt idx="1">
                  <c:v>20.36</c:v>
                </c:pt>
                <c:pt idx="2">
                  <c:v>20.260000000000002</c:v>
                </c:pt>
                <c:pt idx="3">
                  <c:v>20.09</c:v>
                </c:pt>
                <c:pt idx="4">
                  <c:v>20.079999999999998</c:v>
                </c:pt>
                <c:pt idx="5">
                  <c:v>20.39</c:v>
                </c:pt>
                <c:pt idx="6">
                  <c:v>20.7</c:v>
                </c:pt>
                <c:pt idx="7">
                  <c:v>20.73</c:v>
                </c:pt>
                <c:pt idx="8">
                  <c:v>20.59</c:v>
                </c:pt>
                <c:pt idx="9">
                  <c:v>20.66</c:v>
                </c:pt>
                <c:pt idx="10">
                  <c:v>20.65</c:v>
                </c:pt>
                <c:pt idx="11">
                  <c:v>20.58</c:v>
                </c:pt>
                <c:pt idx="12">
                  <c:v>20.64</c:v>
                </c:pt>
                <c:pt idx="13">
                  <c:v>21.06</c:v>
                </c:pt>
                <c:pt idx="14">
                  <c:v>21.21</c:v>
                </c:pt>
                <c:pt idx="15">
                  <c:v>21.14</c:v>
                </c:pt>
                <c:pt idx="16">
                  <c:v>21.05</c:v>
                </c:pt>
                <c:pt idx="17">
                  <c:v>21.11</c:v>
                </c:pt>
                <c:pt idx="18">
                  <c:v>21.19</c:v>
                </c:pt>
                <c:pt idx="19">
                  <c:v>21.43</c:v>
                </c:pt>
                <c:pt idx="20">
                  <c:v>21.29</c:v>
                </c:pt>
                <c:pt idx="21">
                  <c:v>21.29</c:v>
                </c:pt>
                <c:pt idx="22">
                  <c:v>21.58</c:v>
                </c:pt>
                <c:pt idx="23">
                  <c:v>21.62</c:v>
                </c:pt>
                <c:pt idx="24">
                  <c:v>21.78</c:v>
                </c:pt>
                <c:pt idx="25">
                  <c:v>21.87</c:v>
                </c:pt>
                <c:pt idx="26">
                  <c:v>21.95</c:v>
                </c:pt>
                <c:pt idx="27">
                  <c:v>21.73</c:v>
                </c:pt>
                <c:pt idx="28">
                  <c:v>21.7</c:v>
                </c:pt>
                <c:pt idx="29">
                  <c:v>21.48</c:v>
                </c:pt>
                <c:pt idx="30">
                  <c:v>21.37</c:v>
                </c:pt>
                <c:pt idx="31">
                  <c:v>21.84</c:v>
                </c:pt>
                <c:pt idx="32">
                  <c:v>21.88</c:v>
                </c:pt>
                <c:pt idx="33">
                  <c:v>21.72</c:v>
                </c:pt>
                <c:pt idx="34">
                  <c:v>21.82</c:v>
                </c:pt>
                <c:pt idx="35">
                  <c:v>21.6</c:v>
                </c:pt>
                <c:pt idx="36">
                  <c:v>21.64</c:v>
                </c:pt>
                <c:pt idx="37">
                  <c:v>21.84</c:v>
                </c:pt>
                <c:pt idx="38">
                  <c:v>21.93</c:v>
                </c:pt>
                <c:pt idx="39">
                  <c:v>21.73</c:v>
                </c:pt>
                <c:pt idx="40">
                  <c:v>21.43</c:v>
                </c:pt>
                <c:pt idx="41">
                  <c:v>21.64</c:v>
                </c:pt>
                <c:pt idx="42">
                  <c:v>21.93</c:v>
                </c:pt>
                <c:pt idx="43">
                  <c:v>21.57</c:v>
                </c:pt>
                <c:pt idx="44">
                  <c:v>21.23</c:v>
                </c:pt>
                <c:pt idx="45">
                  <c:v>20.88</c:v>
                </c:pt>
                <c:pt idx="46">
                  <c:v>21.08</c:v>
                </c:pt>
                <c:pt idx="47">
                  <c:v>21.6</c:v>
                </c:pt>
                <c:pt idx="48">
                  <c:v>21.65</c:v>
                </c:pt>
                <c:pt idx="49">
                  <c:v>21.97</c:v>
                </c:pt>
                <c:pt idx="50">
                  <c:v>22.1</c:v>
                </c:pt>
                <c:pt idx="51">
                  <c:v>21.91</c:v>
                </c:pt>
                <c:pt idx="52">
                  <c:v>21.46</c:v>
                </c:pt>
                <c:pt idx="53">
                  <c:v>21.26</c:v>
                </c:pt>
                <c:pt idx="54">
                  <c:v>21.23</c:v>
                </c:pt>
                <c:pt idx="55">
                  <c:v>21.25</c:v>
                </c:pt>
                <c:pt idx="56">
                  <c:v>21.46</c:v>
                </c:pt>
                <c:pt idx="57">
                  <c:v>21.22</c:v>
                </c:pt>
                <c:pt idx="58">
                  <c:v>21.33</c:v>
                </c:pt>
                <c:pt idx="59">
                  <c:v>21.47</c:v>
                </c:pt>
                <c:pt idx="60">
                  <c:v>21.5</c:v>
                </c:pt>
                <c:pt idx="61">
                  <c:v>21.85</c:v>
                </c:pt>
                <c:pt idx="62">
                  <c:v>21.77</c:v>
                </c:pt>
                <c:pt idx="63">
                  <c:v>21.67</c:v>
                </c:pt>
                <c:pt idx="64">
                  <c:v>21.65</c:v>
                </c:pt>
                <c:pt idx="65">
                  <c:v>21.4</c:v>
                </c:pt>
                <c:pt idx="66">
                  <c:v>21.7</c:v>
                </c:pt>
                <c:pt idx="67">
                  <c:v>21.4</c:v>
                </c:pt>
                <c:pt idx="68">
                  <c:v>21.54</c:v>
                </c:pt>
                <c:pt idx="69">
                  <c:v>21.45</c:v>
                </c:pt>
                <c:pt idx="70">
                  <c:v>21.38</c:v>
                </c:pt>
                <c:pt idx="71">
                  <c:v>21.29</c:v>
                </c:pt>
                <c:pt idx="72">
                  <c:v>21.2</c:v>
                </c:pt>
                <c:pt idx="73">
                  <c:v>21.12</c:v>
                </c:pt>
                <c:pt idx="74">
                  <c:v>21.25</c:v>
                </c:pt>
                <c:pt idx="75">
                  <c:v>20.98</c:v>
                </c:pt>
                <c:pt idx="76">
                  <c:v>20.47</c:v>
                </c:pt>
                <c:pt idx="77">
                  <c:v>20.99</c:v>
                </c:pt>
                <c:pt idx="78">
                  <c:v>21.27</c:v>
                </c:pt>
                <c:pt idx="79">
                  <c:v>21.03</c:v>
                </c:pt>
                <c:pt idx="80">
                  <c:v>21.32</c:v>
                </c:pt>
                <c:pt idx="81">
                  <c:v>21.29</c:v>
                </c:pt>
                <c:pt idx="82">
                  <c:v>21.21</c:v>
                </c:pt>
                <c:pt idx="83">
                  <c:v>21.03</c:v>
                </c:pt>
                <c:pt idx="84">
                  <c:v>20.75</c:v>
                </c:pt>
                <c:pt idx="85">
                  <c:v>20.51</c:v>
                </c:pt>
                <c:pt idx="86">
                  <c:v>20.6</c:v>
                </c:pt>
                <c:pt idx="87">
                  <c:v>21.08</c:v>
                </c:pt>
                <c:pt idx="88">
                  <c:v>21.14</c:v>
                </c:pt>
                <c:pt idx="89">
                  <c:v>20.81</c:v>
                </c:pt>
                <c:pt idx="90">
                  <c:v>20.6</c:v>
                </c:pt>
                <c:pt idx="91">
                  <c:v>20.6</c:v>
                </c:pt>
                <c:pt idx="92">
                  <c:v>20.81</c:v>
                </c:pt>
                <c:pt idx="93">
                  <c:v>20.88</c:v>
                </c:pt>
                <c:pt idx="94">
                  <c:v>20.67</c:v>
                </c:pt>
                <c:pt idx="95">
                  <c:v>20.7</c:v>
                </c:pt>
                <c:pt idx="96">
                  <c:v>20.68</c:v>
                </c:pt>
                <c:pt idx="97">
                  <c:v>20.77</c:v>
                </c:pt>
                <c:pt idx="98">
                  <c:v>20.32</c:v>
                </c:pt>
                <c:pt idx="99">
                  <c:v>19.98</c:v>
                </c:pt>
                <c:pt idx="100">
                  <c:v>19.84</c:v>
                </c:pt>
                <c:pt idx="101">
                  <c:v>19.79</c:v>
                </c:pt>
                <c:pt idx="102">
                  <c:v>19.399999999999999</c:v>
                </c:pt>
                <c:pt idx="103">
                  <c:v>19.13</c:v>
                </c:pt>
                <c:pt idx="104">
                  <c:v>19.28</c:v>
                </c:pt>
                <c:pt idx="105">
                  <c:v>19.079999999999998</c:v>
                </c:pt>
                <c:pt idx="106">
                  <c:v>19.04</c:v>
                </c:pt>
                <c:pt idx="107">
                  <c:v>19.16</c:v>
                </c:pt>
                <c:pt idx="108">
                  <c:v>19.27</c:v>
                </c:pt>
                <c:pt idx="109">
                  <c:v>19.5</c:v>
                </c:pt>
                <c:pt idx="110">
                  <c:v>19.68</c:v>
                </c:pt>
                <c:pt idx="111">
                  <c:v>19.63</c:v>
                </c:pt>
                <c:pt idx="112">
                  <c:v>19.48</c:v>
                </c:pt>
                <c:pt idx="113">
                  <c:v>19.600000000000001</c:v>
                </c:pt>
                <c:pt idx="114">
                  <c:v>19.61</c:v>
                </c:pt>
                <c:pt idx="115">
                  <c:v>19.95</c:v>
                </c:pt>
                <c:pt idx="116">
                  <c:v>19.98</c:v>
                </c:pt>
                <c:pt idx="117">
                  <c:v>19.98</c:v>
                </c:pt>
                <c:pt idx="118">
                  <c:v>19.98</c:v>
                </c:pt>
                <c:pt idx="119">
                  <c:v>19.899999999999999</c:v>
                </c:pt>
                <c:pt idx="120">
                  <c:v>19.940000000000001</c:v>
                </c:pt>
                <c:pt idx="121">
                  <c:v>19.91</c:v>
                </c:pt>
                <c:pt idx="122">
                  <c:v>20.04</c:v>
                </c:pt>
                <c:pt idx="123">
                  <c:v>20.2</c:v>
                </c:pt>
                <c:pt idx="124">
                  <c:v>20.09</c:v>
                </c:pt>
                <c:pt idx="125">
                  <c:v>19.989999999999998</c:v>
                </c:pt>
                <c:pt idx="126">
                  <c:v>20.66</c:v>
                </c:pt>
                <c:pt idx="127">
                  <c:v>21.02</c:v>
                </c:pt>
                <c:pt idx="128">
                  <c:v>21.58</c:v>
                </c:pt>
                <c:pt idx="129">
                  <c:v>21.49</c:v>
                </c:pt>
                <c:pt idx="130">
                  <c:v>21.43</c:v>
                </c:pt>
                <c:pt idx="131">
                  <c:v>21.5</c:v>
                </c:pt>
                <c:pt idx="132">
                  <c:v>21.684999999999999</c:v>
                </c:pt>
                <c:pt idx="133">
                  <c:v>22.05</c:v>
                </c:pt>
                <c:pt idx="134">
                  <c:v>22.61</c:v>
                </c:pt>
                <c:pt idx="135">
                  <c:v>22.6</c:v>
                </c:pt>
                <c:pt idx="136">
                  <c:v>22.43</c:v>
                </c:pt>
                <c:pt idx="137">
                  <c:v>22.29</c:v>
                </c:pt>
                <c:pt idx="138">
                  <c:v>22.75</c:v>
                </c:pt>
                <c:pt idx="139">
                  <c:v>23.04</c:v>
                </c:pt>
                <c:pt idx="140">
                  <c:v>23.06</c:v>
                </c:pt>
                <c:pt idx="141">
                  <c:v>22.42</c:v>
                </c:pt>
                <c:pt idx="142">
                  <c:v>22.09</c:v>
                </c:pt>
                <c:pt idx="143">
                  <c:v>21.62</c:v>
                </c:pt>
                <c:pt idx="144">
                  <c:v>21.7</c:v>
                </c:pt>
                <c:pt idx="145">
                  <c:v>21.66</c:v>
                </c:pt>
                <c:pt idx="146">
                  <c:v>22.21</c:v>
                </c:pt>
                <c:pt idx="147">
                  <c:v>22.25</c:v>
                </c:pt>
                <c:pt idx="148">
                  <c:v>21.47</c:v>
                </c:pt>
                <c:pt idx="149">
                  <c:v>20.99</c:v>
                </c:pt>
                <c:pt idx="150">
                  <c:v>20.635000000000002</c:v>
                </c:pt>
                <c:pt idx="151">
                  <c:v>20.46</c:v>
                </c:pt>
                <c:pt idx="152">
                  <c:v>20.37</c:v>
                </c:pt>
                <c:pt idx="153">
                  <c:v>20.5</c:v>
                </c:pt>
                <c:pt idx="154">
                  <c:v>20.54</c:v>
                </c:pt>
                <c:pt idx="155">
                  <c:v>20.5</c:v>
                </c:pt>
                <c:pt idx="156">
                  <c:v>20.5</c:v>
                </c:pt>
                <c:pt idx="157">
                  <c:v>20.65</c:v>
                </c:pt>
                <c:pt idx="158">
                  <c:v>20.7</c:v>
                </c:pt>
                <c:pt idx="159">
                  <c:v>20.36</c:v>
                </c:pt>
                <c:pt idx="160">
                  <c:v>20.34</c:v>
                </c:pt>
                <c:pt idx="161">
                  <c:v>20.18</c:v>
                </c:pt>
                <c:pt idx="162">
                  <c:v>20.2</c:v>
                </c:pt>
                <c:pt idx="163">
                  <c:v>19.97</c:v>
                </c:pt>
                <c:pt idx="164">
                  <c:v>20.13</c:v>
                </c:pt>
                <c:pt idx="165">
                  <c:v>19.489999999999998</c:v>
                </c:pt>
                <c:pt idx="166">
                  <c:v>20.059999999999999</c:v>
                </c:pt>
                <c:pt idx="167">
                  <c:v>20.7</c:v>
                </c:pt>
                <c:pt idx="168">
                  <c:v>20.97</c:v>
                </c:pt>
                <c:pt idx="169">
                  <c:v>21.52</c:v>
                </c:pt>
                <c:pt idx="170">
                  <c:v>21.59</c:v>
                </c:pt>
                <c:pt idx="171">
                  <c:v>21.41</c:v>
                </c:pt>
                <c:pt idx="172">
                  <c:v>21.39</c:v>
                </c:pt>
                <c:pt idx="173">
                  <c:v>21.114999999999998</c:v>
                </c:pt>
                <c:pt idx="174">
                  <c:v>20.7</c:v>
                </c:pt>
                <c:pt idx="175">
                  <c:v>21.05</c:v>
                </c:pt>
                <c:pt idx="176">
                  <c:v>20.89</c:v>
                </c:pt>
                <c:pt idx="177">
                  <c:v>20.98</c:v>
                </c:pt>
                <c:pt idx="178">
                  <c:v>20.91</c:v>
                </c:pt>
                <c:pt idx="179">
                  <c:v>20.88</c:v>
                </c:pt>
                <c:pt idx="180">
                  <c:v>20.85</c:v>
                </c:pt>
                <c:pt idx="181">
                  <c:v>20.84</c:v>
                </c:pt>
                <c:pt idx="182">
                  <c:v>21.51</c:v>
                </c:pt>
                <c:pt idx="183">
                  <c:v>21.91</c:v>
                </c:pt>
                <c:pt idx="184">
                  <c:v>21.55</c:v>
                </c:pt>
                <c:pt idx="185">
                  <c:v>21.94</c:v>
                </c:pt>
                <c:pt idx="186">
                  <c:v>22.4</c:v>
                </c:pt>
                <c:pt idx="187">
                  <c:v>22.54</c:v>
                </c:pt>
                <c:pt idx="188">
                  <c:v>22.54</c:v>
                </c:pt>
                <c:pt idx="189">
                  <c:v>22.59</c:v>
                </c:pt>
                <c:pt idx="190">
                  <c:v>22.3</c:v>
                </c:pt>
                <c:pt idx="191">
                  <c:v>22.19</c:v>
                </c:pt>
                <c:pt idx="192">
                  <c:v>21.8</c:v>
                </c:pt>
                <c:pt idx="193">
                  <c:v>21.574999999999999</c:v>
                </c:pt>
                <c:pt idx="194">
                  <c:v>21.8</c:v>
                </c:pt>
                <c:pt idx="195">
                  <c:v>21.64</c:v>
                </c:pt>
                <c:pt idx="196">
                  <c:v>21.97</c:v>
                </c:pt>
                <c:pt idx="197">
                  <c:v>22.11</c:v>
                </c:pt>
                <c:pt idx="198">
                  <c:v>22.02</c:v>
                </c:pt>
                <c:pt idx="199">
                  <c:v>21.92</c:v>
                </c:pt>
                <c:pt idx="200">
                  <c:v>21.66</c:v>
                </c:pt>
                <c:pt idx="201">
                  <c:v>21.52</c:v>
                </c:pt>
                <c:pt idx="202">
                  <c:v>21.68</c:v>
                </c:pt>
                <c:pt idx="203">
                  <c:v>19.899999999999999</c:v>
                </c:pt>
                <c:pt idx="204">
                  <c:v>17.78</c:v>
                </c:pt>
                <c:pt idx="205">
                  <c:v>17.45</c:v>
                </c:pt>
                <c:pt idx="206">
                  <c:v>17.32</c:v>
                </c:pt>
                <c:pt idx="207">
                  <c:v>16.54</c:v>
                </c:pt>
                <c:pt idx="208">
                  <c:v>16.489999999999998</c:v>
                </c:pt>
                <c:pt idx="209">
                  <c:v>16.079999999999998</c:v>
                </c:pt>
                <c:pt idx="210">
                  <c:v>15.95</c:v>
                </c:pt>
                <c:pt idx="211">
                  <c:v>16.010000000000002</c:v>
                </c:pt>
                <c:pt idx="212">
                  <c:v>16.18</c:v>
                </c:pt>
                <c:pt idx="213">
                  <c:v>15.94</c:v>
                </c:pt>
                <c:pt idx="214">
                  <c:v>15.75</c:v>
                </c:pt>
                <c:pt idx="215">
                  <c:v>15.65</c:v>
                </c:pt>
                <c:pt idx="216">
                  <c:v>15.88</c:v>
                </c:pt>
                <c:pt idx="217">
                  <c:v>16.14</c:v>
                </c:pt>
                <c:pt idx="218">
                  <c:v>16.37</c:v>
                </c:pt>
                <c:pt idx="219">
                  <c:v>16.52</c:v>
                </c:pt>
                <c:pt idx="220">
                  <c:v>16.52</c:v>
                </c:pt>
                <c:pt idx="221">
                  <c:v>16.64</c:v>
                </c:pt>
                <c:pt idx="222">
                  <c:v>17.52</c:v>
                </c:pt>
                <c:pt idx="223">
                  <c:v>17.7</c:v>
                </c:pt>
                <c:pt idx="224">
                  <c:v>17.38</c:v>
                </c:pt>
                <c:pt idx="225">
                  <c:v>17.54</c:v>
                </c:pt>
                <c:pt idx="226">
                  <c:v>17.45</c:v>
                </c:pt>
                <c:pt idx="227">
                  <c:v>17.3</c:v>
                </c:pt>
                <c:pt idx="228">
                  <c:v>17.18</c:v>
                </c:pt>
                <c:pt idx="229">
                  <c:v>17.22</c:v>
                </c:pt>
                <c:pt idx="230">
                  <c:v>17.05</c:v>
                </c:pt>
                <c:pt idx="231">
                  <c:v>17.45</c:v>
                </c:pt>
                <c:pt idx="232">
                  <c:v>17.59</c:v>
                </c:pt>
                <c:pt idx="233">
                  <c:v>17.62</c:v>
                </c:pt>
                <c:pt idx="234">
                  <c:v>17.600000000000001</c:v>
                </c:pt>
                <c:pt idx="235">
                  <c:v>17.5</c:v>
                </c:pt>
                <c:pt idx="236">
                  <c:v>17.16</c:v>
                </c:pt>
                <c:pt idx="237">
                  <c:v>17.11</c:v>
                </c:pt>
                <c:pt idx="238">
                  <c:v>16.96</c:v>
                </c:pt>
                <c:pt idx="239">
                  <c:v>16.82</c:v>
                </c:pt>
                <c:pt idx="240">
                  <c:v>16.670000000000002</c:v>
                </c:pt>
                <c:pt idx="241">
                  <c:v>16.53</c:v>
                </c:pt>
                <c:pt idx="242">
                  <c:v>16.45</c:v>
                </c:pt>
                <c:pt idx="243">
                  <c:v>16.41</c:v>
                </c:pt>
                <c:pt idx="244">
                  <c:v>16.63</c:v>
                </c:pt>
                <c:pt idx="245">
                  <c:v>16.760000000000002</c:v>
                </c:pt>
                <c:pt idx="246">
                  <c:v>16.829999999999998</c:v>
                </c:pt>
                <c:pt idx="247">
                  <c:v>16.605</c:v>
                </c:pt>
                <c:pt idx="248">
                  <c:v>16.420000000000002</c:v>
                </c:pt>
                <c:pt idx="249">
                  <c:v>16.489999999999998</c:v>
                </c:pt>
                <c:pt idx="250">
                  <c:v>16.54</c:v>
                </c:pt>
                <c:pt idx="251">
                  <c:v>16.760000000000002</c:v>
                </c:pt>
                <c:pt idx="252">
                  <c:v>16.71</c:v>
                </c:pt>
                <c:pt idx="253">
                  <c:v>16.77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4-D44F-973F-6C152CA37E8A}"/>
            </c:ext>
          </c:extLst>
        </c:ser>
        <c:ser>
          <c:idx val="2"/>
          <c:order val="2"/>
          <c:tx>
            <c:strRef>
              <c:f>'Stock movement '!$D$1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'Stock movement 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movement '!$D$2:$D$255</c:f>
              <c:numCache>
                <c:formatCode>#,##0.00##</c:formatCode>
                <c:ptCount val="254"/>
                <c:pt idx="0">
                  <c:v>20.22</c:v>
                </c:pt>
                <c:pt idx="1">
                  <c:v>20.16</c:v>
                </c:pt>
                <c:pt idx="2">
                  <c:v>19.88</c:v>
                </c:pt>
                <c:pt idx="3">
                  <c:v>19.920000000000002</c:v>
                </c:pt>
                <c:pt idx="4">
                  <c:v>19.71</c:v>
                </c:pt>
                <c:pt idx="5">
                  <c:v>19.989999999999998</c:v>
                </c:pt>
                <c:pt idx="6">
                  <c:v>20</c:v>
                </c:pt>
                <c:pt idx="7">
                  <c:v>20.56</c:v>
                </c:pt>
                <c:pt idx="8">
                  <c:v>20.350000000000001</c:v>
                </c:pt>
                <c:pt idx="9">
                  <c:v>20.29</c:v>
                </c:pt>
                <c:pt idx="10">
                  <c:v>20.420000000000002</c:v>
                </c:pt>
                <c:pt idx="11">
                  <c:v>20.37</c:v>
                </c:pt>
                <c:pt idx="12">
                  <c:v>20.41</c:v>
                </c:pt>
                <c:pt idx="13">
                  <c:v>20.75</c:v>
                </c:pt>
                <c:pt idx="14">
                  <c:v>20.89</c:v>
                </c:pt>
                <c:pt idx="15">
                  <c:v>20.88</c:v>
                </c:pt>
                <c:pt idx="16">
                  <c:v>20.81</c:v>
                </c:pt>
                <c:pt idx="17">
                  <c:v>20.82</c:v>
                </c:pt>
                <c:pt idx="18">
                  <c:v>20.85</c:v>
                </c:pt>
                <c:pt idx="19">
                  <c:v>20.9</c:v>
                </c:pt>
                <c:pt idx="20">
                  <c:v>20.86</c:v>
                </c:pt>
                <c:pt idx="21">
                  <c:v>20.875</c:v>
                </c:pt>
                <c:pt idx="22">
                  <c:v>20.93</c:v>
                </c:pt>
                <c:pt idx="23">
                  <c:v>21.31</c:v>
                </c:pt>
                <c:pt idx="24">
                  <c:v>21.38</c:v>
                </c:pt>
                <c:pt idx="25">
                  <c:v>21.7</c:v>
                </c:pt>
                <c:pt idx="26">
                  <c:v>21.58</c:v>
                </c:pt>
                <c:pt idx="27">
                  <c:v>21.43</c:v>
                </c:pt>
                <c:pt idx="28">
                  <c:v>21.4</c:v>
                </c:pt>
                <c:pt idx="29">
                  <c:v>21.23</c:v>
                </c:pt>
                <c:pt idx="30">
                  <c:v>21.04</c:v>
                </c:pt>
                <c:pt idx="31">
                  <c:v>21.41</c:v>
                </c:pt>
                <c:pt idx="32">
                  <c:v>21.55</c:v>
                </c:pt>
                <c:pt idx="33">
                  <c:v>21.44</c:v>
                </c:pt>
                <c:pt idx="34">
                  <c:v>21.48</c:v>
                </c:pt>
                <c:pt idx="35">
                  <c:v>21.16</c:v>
                </c:pt>
                <c:pt idx="36">
                  <c:v>21.15</c:v>
                </c:pt>
                <c:pt idx="37">
                  <c:v>21.4</c:v>
                </c:pt>
                <c:pt idx="38">
                  <c:v>21.09</c:v>
                </c:pt>
                <c:pt idx="39">
                  <c:v>21.12</c:v>
                </c:pt>
                <c:pt idx="40">
                  <c:v>19.88</c:v>
                </c:pt>
                <c:pt idx="41">
                  <c:v>20.6</c:v>
                </c:pt>
                <c:pt idx="42">
                  <c:v>21.24</c:v>
                </c:pt>
                <c:pt idx="43">
                  <c:v>21.09</c:v>
                </c:pt>
                <c:pt idx="44">
                  <c:v>20.5</c:v>
                </c:pt>
                <c:pt idx="45">
                  <c:v>20.5</c:v>
                </c:pt>
                <c:pt idx="46">
                  <c:v>20.67</c:v>
                </c:pt>
                <c:pt idx="47">
                  <c:v>20.98</c:v>
                </c:pt>
                <c:pt idx="48">
                  <c:v>21.21</c:v>
                </c:pt>
                <c:pt idx="49">
                  <c:v>21.38</c:v>
                </c:pt>
                <c:pt idx="50">
                  <c:v>21.83</c:v>
                </c:pt>
                <c:pt idx="51">
                  <c:v>21.65</c:v>
                </c:pt>
                <c:pt idx="52">
                  <c:v>20.85</c:v>
                </c:pt>
                <c:pt idx="53">
                  <c:v>20.87</c:v>
                </c:pt>
                <c:pt idx="54">
                  <c:v>21</c:v>
                </c:pt>
                <c:pt idx="55">
                  <c:v>21.02</c:v>
                </c:pt>
                <c:pt idx="56">
                  <c:v>21.09</c:v>
                </c:pt>
                <c:pt idx="57">
                  <c:v>21</c:v>
                </c:pt>
                <c:pt idx="58">
                  <c:v>21.07</c:v>
                </c:pt>
                <c:pt idx="59">
                  <c:v>21.08</c:v>
                </c:pt>
                <c:pt idx="60">
                  <c:v>21.2</c:v>
                </c:pt>
                <c:pt idx="61">
                  <c:v>21.49</c:v>
                </c:pt>
                <c:pt idx="62">
                  <c:v>21.48</c:v>
                </c:pt>
                <c:pt idx="63">
                  <c:v>21.09</c:v>
                </c:pt>
                <c:pt idx="64">
                  <c:v>21.2</c:v>
                </c:pt>
                <c:pt idx="65">
                  <c:v>21.07</c:v>
                </c:pt>
                <c:pt idx="66">
                  <c:v>21.2</c:v>
                </c:pt>
                <c:pt idx="67">
                  <c:v>21.05</c:v>
                </c:pt>
                <c:pt idx="68">
                  <c:v>21.29</c:v>
                </c:pt>
                <c:pt idx="69">
                  <c:v>21.03</c:v>
                </c:pt>
                <c:pt idx="70">
                  <c:v>21.15</c:v>
                </c:pt>
                <c:pt idx="71">
                  <c:v>21.03</c:v>
                </c:pt>
                <c:pt idx="72">
                  <c:v>20.885000000000002</c:v>
                </c:pt>
                <c:pt idx="73">
                  <c:v>20.89</c:v>
                </c:pt>
                <c:pt idx="74">
                  <c:v>20.95</c:v>
                </c:pt>
                <c:pt idx="75">
                  <c:v>19.989999999999998</c:v>
                </c:pt>
                <c:pt idx="76">
                  <c:v>20.11</c:v>
                </c:pt>
                <c:pt idx="77">
                  <c:v>20.29</c:v>
                </c:pt>
                <c:pt idx="78">
                  <c:v>20.7</c:v>
                </c:pt>
                <c:pt idx="79">
                  <c:v>20.71</c:v>
                </c:pt>
                <c:pt idx="80">
                  <c:v>21.05</c:v>
                </c:pt>
                <c:pt idx="81">
                  <c:v>21.05</c:v>
                </c:pt>
                <c:pt idx="82">
                  <c:v>20.88</c:v>
                </c:pt>
                <c:pt idx="83">
                  <c:v>20.399999999999999</c:v>
                </c:pt>
                <c:pt idx="84">
                  <c:v>20.45</c:v>
                </c:pt>
                <c:pt idx="85">
                  <c:v>19.96</c:v>
                </c:pt>
                <c:pt idx="86">
                  <c:v>20.149999999999999</c:v>
                </c:pt>
                <c:pt idx="87">
                  <c:v>20.62</c:v>
                </c:pt>
                <c:pt idx="88">
                  <c:v>20.64</c:v>
                </c:pt>
                <c:pt idx="89">
                  <c:v>20.420000000000002</c:v>
                </c:pt>
                <c:pt idx="90">
                  <c:v>19.739999999999998</c:v>
                </c:pt>
                <c:pt idx="91">
                  <c:v>19.88</c:v>
                </c:pt>
                <c:pt idx="92">
                  <c:v>20.5</c:v>
                </c:pt>
                <c:pt idx="93">
                  <c:v>20.6</c:v>
                </c:pt>
                <c:pt idx="94">
                  <c:v>20.34</c:v>
                </c:pt>
                <c:pt idx="95">
                  <c:v>20.21</c:v>
                </c:pt>
                <c:pt idx="96">
                  <c:v>20.38</c:v>
                </c:pt>
                <c:pt idx="97">
                  <c:v>20.27</c:v>
                </c:pt>
                <c:pt idx="98">
                  <c:v>19.920000000000002</c:v>
                </c:pt>
                <c:pt idx="99">
                  <c:v>19.510000000000002</c:v>
                </c:pt>
                <c:pt idx="100">
                  <c:v>19.54</c:v>
                </c:pt>
                <c:pt idx="101">
                  <c:v>19.350000000000001</c:v>
                </c:pt>
                <c:pt idx="102">
                  <c:v>18.899999999999999</c:v>
                </c:pt>
                <c:pt idx="103">
                  <c:v>18.785</c:v>
                </c:pt>
                <c:pt idx="104">
                  <c:v>18.809999999999999</c:v>
                </c:pt>
                <c:pt idx="105">
                  <c:v>18.809999999999999</c:v>
                </c:pt>
                <c:pt idx="106">
                  <c:v>18.71</c:v>
                </c:pt>
                <c:pt idx="107">
                  <c:v>18.82</c:v>
                </c:pt>
                <c:pt idx="108">
                  <c:v>19.04</c:v>
                </c:pt>
                <c:pt idx="109">
                  <c:v>19.239999999999998</c:v>
                </c:pt>
                <c:pt idx="110">
                  <c:v>19.27</c:v>
                </c:pt>
                <c:pt idx="111">
                  <c:v>19.149999999999999</c:v>
                </c:pt>
                <c:pt idx="112">
                  <c:v>19.22</c:v>
                </c:pt>
                <c:pt idx="113">
                  <c:v>19.100000000000001</c:v>
                </c:pt>
                <c:pt idx="114">
                  <c:v>19.36</c:v>
                </c:pt>
                <c:pt idx="115">
                  <c:v>19.670000000000002</c:v>
                </c:pt>
                <c:pt idx="116">
                  <c:v>19.739999999999998</c:v>
                </c:pt>
                <c:pt idx="117">
                  <c:v>19.78</c:v>
                </c:pt>
                <c:pt idx="118">
                  <c:v>19.79</c:v>
                </c:pt>
                <c:pt idx="119">
                  <c:v>19.489999999999998</c:v>
                </c:pt>
                <c:pt idx="120">
                  <c:v>19.600000000000001</c:v>
                </c:pt>
                <c:pt idx="121">
                  <c:v>19.53</c:v>
                </c:pt>
                <c:pt idx="122">
                  <c:v>19.5</c:v>
                </c:pt>
                <c:pt idx="123">
                  <c:v>19.95</c:v>
                </c:pt>
                <c:pt idx="124">
                  <c:v>19.75</c:v>
                </c:pt>
                <c:pt idx="125">
                  <c:v>19.62</c:v>
                </c:pt>
                <c:pt idx="126">
                  <c:v>20.11</c:v>
                </c:pt>
                <c:pt idx="127">
                  <c:v>20.48</c:v>
                </c:pt>
                <c:pt idx="128">
                  <c:v>20.89</c:v>
                </c:pt>
                <c:pt idx="129">
                  <c:v>21.28</c:v>
                </c:pt>
                <c:pt idx="130">
                  <c:v>20.9</c:v>
                </c:pt>
                <c:pt idx="131">
                  <c:v>21.21</c:v>
                </c:pt>
                <c:pt idx="132">
                  <c:v>21.4</c:v>
                </c:pt>
                <c:pt idx="133">
                  <c:v>21.63</c:v>
                </c:pt>
                <c:pt idx="134">
                  <c:v>21.97</c:v>
                </c:pt>
                <c:pt idx="135">
                  <c:v>21.95</c:v>
                </c:pt>
                <c:pt idx="136">
                  <c:v>22.13</c:v>
                </c:pt>
                <c:pt idx="137">
                  <c:v>22.06</c:v>
                </c:pt>
                <c:pt idx="138">
                  <c:v>22.22</c:v>
                </c:pt>
                <c:pt idx="139">
                  <c:v>22.67</c:v>
                </c:pt>
                <c:pt idx="140">
                  <c:v>22.81</c:v>
                </c:pt>
                <c:pt idx="141">
                  <c:v>20.98</c:v>
                </c:pt>
                <c:pt idx="142">
                  <c:v>21.24</c:v>
                </c:pt>
                <c:pt idx="143">
                  <c:v>21.26</c:v>
                </c:pt>
                <c:pt idx="144">
                  <c:v>21.41</c:v>
                </c:pt>
                <c:pt idx="145">
                  <c:v>21.25</c:v>
                </c:pt>
                <c:pt idx="146">
                  <c:v>21.52</c:v>
                </c:pt>
                <c:pt idx="147">
                  <c:v>21.66</c:v>
                </c:pt>
                <c:pt idx="148">
                  <c:v>21.08</c:v>
                </c:pt>
                <c:pt idx="149">
                  <c:v>20.260000000000002</c:v>
                </c:pt>
                <c:pt idx="150">
                  <c:v>20.260000000000002</c:v>
                </c:pt>
                <c:pt idx="151">
                  <c:v>20.260000000000002</c:v>
                </c:pt>
                <c:pt idx="152">
                  <c:v>20.12</c:v>
                </c:pt>
                <c:pt idx="153">
                  <c:v>20.100000000000001</c:v>
                </c:pt>
                <c:pt idx="154">
                  <c:v>20.25</c:v>
                </c:pt>
                <c:pt idx="155">
                  <c:v>20.149999999999999</c:v>
                </c:pt>
                <c:pt idx="156">
                  <c:v>20.2</c:v>
                </c:pt>
                <c:pt idx="157">
                  <c:v>20.28</c:v>
                </c:pt>
                <c:pt idx="158">
                  <c:v>20.190000000000001</c:v>
                </c:pt>
                <c:pt idx="159">
                  <c:v>20</c:v>
                </c:pt>
                <c:pt idx="160">
                  <c:v>19.98</c:v>
                </c:pt>
                <c:pt idx="161">
                  <c:v>19.649999999999999</c:v>
                </c:pt>
                <c:pt idx="162">
                  <c:v>19.600000000000001</c:v>
                </c:pt>
                <c:pt idx="163">
                  <c:v>19.61</c:v>
                </c:pt>
                <c:pt idx="164">
                  <c:v>19.47</c:v>
                </c:pt>
                <c:pt idx="165">
                  <c:v>19.09</c:v>
                </c:pt>
                <c:pt idx="166">
                  <c:v>19.32</c:v>
                </c:pt>
                <c:pt idx="167">
                  <c:v>20.28</c:v>
                </c:pt>
                <c:pt idx="168">
                  <c:v>20.3</c:v>
                </c:pt>
                <c:pt idx="169">
                  <c:v>20.88</c:v>
                </c:pt>
                <c:pt idx="170">
                  <c:v>21.2</c:v>
                </c:pt>
                <c:pt idx="171">
                  <c:v>21.1</c:v>
                </c:pt>
                <c:pt idx="172">
                  <c:v>20.95</c:v>
                </c:pt>
                <c:pt idx="173">
                  <c:v>20.66</c:v>
                </c:pt>
                <c:pt idx="174">
                  <c:v>20.350000000000001</c:v>
                </c:pt>
                <c:pt idx="175">
                  <c:v>20.56</c:v>
                </c:pt>
                <c:pt idx="176">
                  <c:v>20.420000000000002</c:v>
                </c:pt>
                <c:pt idx="177">
                  <c:v>20.5</c:v>
                </c:pt>
                <c:pt idx="178">
                  <c:v>20.55</c:v>
                </c:pt>
                <c:pt idx="179">
                  <c:v>20.57</c:v>
                </c:pt>
                <c:pt idx="180">
                  <c:v>20.46</c:v>
                </c:pt>
                <c:pt idx="181">
                  <c:v>20.41</c:v>
                </c:pt>
                <c:pt idx="182">
                  <c:v>20.63</c:v>
                </c:pt>
                <c:pt idx="183">
                  <c:v>21.39</c:v>
                </c:pt>
                <c:pt idx="184">
                  <c:v>21.2</c:v>
                </c:pt>
                <c:pt idx="185">
                  <c:v>21.37</c:v>
                </c:pt>
                <c:pt idx="186">
                  <c:v>21.72</c:v>
                </c:pt>
                <c:pt idx="187">
                  <c:v>21.9</c:v>
                </c:pt>
                <c:pt idx="188">
                  <c:v>22.31</c:v>
                </c:pt>
                <c:pt idx="189">
                  <c:v>22.23</c:v>
                </c:pt>
                <c:pt idx="190">
                  <c:v>21.94</c:v>
                </c:pt>
                <c:pt idx="191">
                  <c:v>21.52</c:v>
                </c:pt>
                <c:pt idx="192">
                  <c:v>21.53</c:v>
                </c:pt>
                <c:pt idx="193">
                  <c:v>21.22</c:v>
                </c:pt>
                <c:pt idx="194">
                  <c:v>21.15</c:v>
                </c:pt>
                <c:pt idx="195">
                  <c:v>21.36</c:v>
                </c:pt>
                <c:pt idx="196">
                  <c:v>21.53</c:v>
                </c:pt>
                <c:pt idx="197">
                  <c:v>21.78</c:v>
                </c:pt>
                <c:pt idx="198">
                  <c:v>21.68</c:v>
                </c:pt>
                <c:pt idx="199">
                  <c:v>21.13</c:v>
                </c:pt>
                <c:pt idx="200">
                  <c:v>21.385000000000002</c:v>
                </c:pt>
                <c:pt idx="201">
                  <c:v>21.33</c:v>
                </c:pt>
                <c:pt idx="202">
                  <c:v>21.36</c:v>
                </c:pt>
                <c:pt idx="203">
                  <c:v>17.100000000000001</c:v>
                </c:pt>
                <c:pt idx="204">
                  <c:v>17.239999999999998</c:v>
                </c:pt>
                <c:pt idx="205">
                  <c:v>16.785</c:v>
                </c:pt>
                <c:pt idx="206">
                  <c:v>16.37</c:v>
                </c:pt>
                <c:pt idx="207">
                  <c:v>15.86</c:v>
                </c:pt>
                <c:pt idx="208">
                  <c:v>15.89</c:v>
                </c:pt>
                <c:pt idx="209">
                  <c:v>15.6</c:v>
                </c:pt>
                <c:pt idx="210">
                  <c:v>15.67</c:v>
                </c:pt>
                <c:pt idx="211">
                  <c:v>15.72</c:v>
                </c:pt>
                <c:pt idx="212">
                  <c:v>15.82</c:v>
                </c:pt>
                <c:pt idx="213">
                  <c:v>15.62</c:v>
                </c:pt>
                <c:pt idx="214">
                  <c:v>15.45</c:v>
                </c:pt>
                <c:pt idx="215">
                  <c:v>15.43</c:v>
                </c:pt>
                <c:pt idx="216">
                  <c:v>15.6</c:v>
                </c:pt>
                <c:pt idx="217">
                  <c:v>15.73</c:v>
                </c:pt>
                <c:pt idx="218">
                  <c:v>16.02</c:v>
                </c:pt>
                <c:pt idx="219">
                  <c:v>16.25</c:v>
                </c:pt>
                <c:pt idx="220">
                  <c:v>16.12</c:v>
                </c:pt>
                <c:pt idx="221">
                  <c:v>16.239999999999998</c:v>
                </c:pt>
                <c:pt idx="222">
                  <c:v>16.47</c:v>
                </c:pt>
                <c:pt idx="223">
                  <c:v>17.25</c:v>
                </c:pt>
                <c:pt idx="224">
                  <c:v>17.100000000000001</c:v>
                </c:pt>
                <c:pt idx="225">
                  <c:v>17.05</c:v>
                </c:pt>
                <c:pt idx="226">
                  <c:v>17.21</c:v>
                </c:pt>
                <c:pt idx="227">
                  <c:v>16.760000000000002</c:v>
                </c:pt>
                <c:pt idx="228">
                  <c:v>16.98</c:v>
                </c:pt>
                <c:pt idx="229">
                  <c:v>16.93</c:v>
                </c:pt>
                <c:pt idx="230">
                  <c:v>16.670000000000002</c:v>
                </c:pt>
                <c:pt idx="231">
                  <c:v>16.940000000000001</c:v>
                </c:pt>
                <c:pt idx="232">
                  <c:v>17.12</c:v>
                </c:pt>
                <c:pt idx="233">
                  <c:v>17.309999999999999</c:v>
                </c:pt>
                <c:pt idx="234">
                  <c:v>17.27</c:v>
                </c:pt>
                <c:pt idx="235">
                  <c:v>17.059999999999999</c:v>
                </c:pt>
                <c:pt idx="236">
                  <c:v>16.98</c:v>
                </c:pt>
                <c:pt idx="237">
                  <c:v>16.850000000000001</c:v>
                </c:pt>
                <c:pt idx="238">
                  <c:v>16.579999999999998</c:v>
                </c:pt>
                <c:pt idx="239">
                  <c:v>16.57</c:v>
                </c:pt>
                <c:pt idx="240">
                  <c:v>16.399999999999999</c:v>
                </c:pt>
                <c:pt idx="241">
                  <c:v>16.23</c:v>
                </c:pt>
                <c:pt idx="242">
                  <c:v>16.149999999999999</c:v>
                </c:pt>
                <c:pt idx="243">
                  <c:v>16.010000000000002</c:v>
                </c:pt>
                <c:pt idx="244">
                  <c:v>16.38</c:v>
                </c:pt>
                <c:pt idx="245">
                  <c:v>16.3</c:v>
                </c:pt>
                <c:pt idx="246">
                  <c:v>16.350000000000001</c:v>
                </c:pt>
                <c:pt idx="247">
                  <c:v>16.215</c:v>
                </c:pt>
                <c:pt idx="248">
                  <c:v>16.11</c:v>
                </c:pt>
                <c:pt idx="249">
                  <c:v>16.239999999999998</c:v>
                </c:pt>
                <c:pt idx="250">
                  <c:v>16.41</c:v>
                </c:pt>
                <c:pt idx="251">
                  <c:v>16.440000000000001</c:v>
                </c:pt>
                <c:pt idx="252">
                  <c:v>16.515000000000001</c:v>
                </c:pt>
                <c:pt idx="253">
                  <c:v>16.559999999999999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44-D44F-973F-6C152CA37E8A}"/>
            </c:ext>
          </c:extLst>
        </c:ser>
        <c:ser>
          <c:idx val="3"/>
          <c:order val="3"/>
          <c:tx>
            <c:strRef>
              <c:f>'Stock movement '!$E$1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'Stock movement 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movement '!$E$2:$E$255</c:f>
              <c:numCache>
                <c:formatCode>#,##0.00##</c:formatCode>
                <c:ptCount val="254"/>
                <c:pt idx="0">
                  <c:v>20.45</c:v>
                </c:pt>
                <c:pt idx="1">
                  <c:v>20.32</c:v>
                </c:pt>
                <c:pt idx="2">
                  <c:v>20.02</c:v>
                </c:pt>
                <c:pt idx="3">
                  <c:v>19.98</c:v>
                </c:pt>
                <c:pt idx="4">
                  <c:v>19.86</c:v>
                </c:pt>
                <c:pt idx="5">
                  <c:v>20.39</c:v>
                </c:pt>
                <c:pt idx="6">
                  <c:v>20.56</c:v>
                </c:pt>
                <c:pt idx="7">
                  <c:v>20.7</c:v>
                </c:pt>
                <c:pt idx="8">
                  <c:v>20.43</c:v>
                </c:pt>
                <c:pt idx="9">
                  <c:v>20.55</c:v>
                </c:pt>
                <c:pt idx="10">
                  <c:v>20.55</c:v>
                </c:pt>
                <c:pt idx="11">
                  <c:v>20.5</c:v>
                </c:pt>
                <c:pt idx="12">
                  <c:v>20.63</c:v>
                </c:pt>
                <c:pt idx="13">
                  <c:v>21.03</c:v>
                </c:pt>
                <c:pt idx="14">
                  <c:v>21.15</c:v>
                </c:pt>
                <c:pt idx="15">
                  <c:v>21.08</c:v>
                </c:pt>
                <c:pt idx="16">
                  <c:v>21.04</c:v>
                </c:pt>
                <c:pt idx="17">
                  <c:v>21.01</c:v>
                </c:pt>
                <c:pt idx="18">
                  <c:v>21.18</c:v>
                </c:pt>
                <c:pt idx="19">
                  <c:v>21.04</c:v>
                </c:pt>
                <c:pt idx="20">
                  <c:v>21.29</c:v>
                </c:pt>
                <c:pt idx="21">
                  <c:v>21.29</c:v>
                </c:pt>
                <c:pt idx="22">
                  <c:v>21.57</c:v>
                </c:pt>
                <c:pt idx="23">
                  <c:v>21.6</c:v>
                </c:pt>
                <c:pt idx="24">
                  <c:v>21.78</c:v>
                </c:pt>
                <c:pt idx="25">
                  <c:v>21.85</c:v>
                </c:pt>
                <c:pt idx="26">
                  <c:v>21.73</c:v>
                </c:pt>
                <c:pt idx="27">
                  <c:v>21.56</c:v>
                </c:pt>
                <c:pt idx="28">
                  <c:v>21.48</c:v>
                </c:pt>
                <c:pt idx="29">
                  <c:v>21.37</c:v>
                </c:pt>
                <c:pt idx="30">
                  <c:v>21.37</c:v>
                </c:pt>
                <c:pt idx="31">
                  <c:v>21.77</c:v>
                </c:pt>
                <c:pt idx="32">
                  <c:v>21.73</c:v>
                </c:pt>
                <c:pt idx="33">
                  <c:v>21.7</c:v>
                </c:pt>
                <c:pt idx="34">
                  <c:v>21.73</c:v>
                </c:pt>
                <c:pt idx="35">
                  <c:v>21.31</c:v>
                </c:pt>
                <c:pt idx="36">
                  <c:v>21.55</c:v>
                </c:pt>
                <c:pt idx="37">
                  <c:v>21.82</c:v>
                </c:pt>
                <c:pt idx="38">
                  <c:v>21.34</c:v>
                </c:pt>
                <c:pt idx="39">
                  <c:v>21.73</c:v>
                </c:pt>
                <c:pt idx="40">
                  <c:v>20.89</c:v>
                </c:pt>
                <c:pt idx="41">
                  <c:v>21.41</c:v>
                </c:pt>
                <c:pt idx="42">
                  <c:v>21.82</c:v>
                </c:pt>
                <c:pt idx="43">
                  <c:v>21.09</c:v>
                </c:pt>
                <c:pt idx="44">
                  <c:v>20.53</c:v>
                </c:pt>
                <c:pt idx="45">
                  <c:v>20.8</c:v>
                </c:pt>
                <c:pt idx="46">
                  <c:v>21.08</c:v>
                </c:pt>
                <c:pt idx="47">
                  <c:v>21.59</c:v>
                </c:pt>
                <c:pt idx="48">
                  <c:v>21.51</c:v>
                </c:pt>
                <c:pt idx="49">
                  <c:v>21.73</c:v>
                </c:pt>
                <c:pt idx="50">
                  <c:v>21.95</c:v>
                </c:pt>
                <c:pt idx="51">
                  <c:v>21.66</c:v>
                </c:pt>
                <c:pt idx="52">
                  <c:v>21</c:v>
                </c:pt>
                <c:pt idx="53">
                  <c:v>21.16</c:v>
                </c:pt>
                <c:pt idx="54">
                  <c:v>21.02</c:v>
                </c:pt>
                <c:pt idx="55">
                  <c:v>21.22</c:v>
                </c:pt>
                <c:pt idx="56">
                  <c:v>21.32</c:v>
                </c:pt>
                <c:pt idx="57">
                  <c:v>21.03</c:v>
                </c:pt>
                <c:pt idx="58">
                  <c:v>21.24</c:v>
                </c:pt>
                <c:pt idx="59">
                  <c:v>21.47</c:v>
                </c:pt>
                <c:pt idx="60">
                  <c:v>21.44</c:v>
                </c:pt>
                <c:pt idx="61">
                  <c:v>21.85</c:v>
                </c:pt>
                <c:pt idx="62">
                  <c:v>21.69</c:v>
                </c:pt>
                <c:pt idx="63">
                  <c:v>21.12</c:v>
                </c:pt>
                <c:pt idx="64">
                  <c:v>21.56</c:v>
                </c:pt>
                <c:pt idx="65">
                  <c:v>21.15</c:v>
                </c:pt>
                <c:pt idx="66">
                  <c:v>21.65</c:v>
                </c:pt>
                <c:pt idx="67">
                  <c:v>21.26</c:v>
                </c:pt>
                <c:pt idx="68">
                  <c:v>21.43</c:v>
                </c:pt>
                <c:pt idx="69">
                  <c:v>21.36</c:v>
                </c:pt>
                <c:pt idx="70">
                  <c:v>21.36</c:v>
                </c:pt>
                <c:pt idx="71">
                  <c:v>21.23</c:v>
                </c:pt>
                <c:pt idx="72">
                  <c:v>20.89</c:v>
                </c:pt>
                <c:pt idx="73">
                  <c:v>21.06</c:v>
                </c:pt>
                <c:pt idx="74">
                  <c:v>21.04</c:v>
                </c:pt>
                <c:pt idx="75">
                  <c:v>19.989999999999998</c:v>
                </c:pt>
                <c:pt idx="76">
                  <c:v>20.27</c:v>
                </c:pt>
                <c:pt idx="77">
                  <c:v>20.99</c:v>
                </c:pt>
                <c:pt idx="78">
                  <c:v>20.75</c:v>
                </c:pt>
                <c:pt idx="79">
                  <c:v>20.99</c:v>
                </c:pt>
                <c:pt idx="80">
                  <c:v>21.19</c:v>
                </c:pt>
                <c:pt idx="81">
                  <c:v>21.21</c:v>
                </c:pt>
                <c:pt idx="82">
                  <c:v>20.88</c:v>
                </c:pt>
                <c:pt idx="83">
                  <c:v>20.47</c:v>
                </c:pt>
                <c:pt idx="84">
                  <c:v>20.5</c:v>
                </c:pt>
                <c:pt idx="85">
                  <c:v>20.059999999999999</c:v>
                </c:pt>
                <c:pt idx="86">
                  <c:v>20.59</c:v>
                </c:pt>
                <c:pt idx="87">
                  <c:v>21.05</c:v>
                </c:pt>
                <c:pt idx="88">
                  <c:v>20.64</c:v>
                </c:pt>
                <c:pt idx="89">
                  <c:v>20.420000000000002</c:v>
                </c:pt>
                <c:pt idx="90">
                  <c:v>19.84</c:v>
                </c:pt>
                <c:pt idx="91">
                  <c:v>20.59</c:v>
                </c:pt>
                <c:pt idx="92">
                  <c:v>20.62</c:v>
                </c:pt>
                <c:pt idx="93">
                  <c:v>20.7</c:v>
                </c:pt>
                <c:pt idx="94">
                  <c:v>20.39</c:v>
                </c:pt>
                <c:pt idx="95">
                  <c:v>20.440000000000001</c:v>
                </c:pt>
                <c:pt idx="96">
                  <c:v>20.65</c:v>
                </c:pt>
                <c:pt idx="97">
                  <c:v>20.34</c:v>
                </c:pt>
                <c:pt idx="98">
                  <c:v>20</c:v>
                </c:pt>
                <c:pt idx="99">
                  <c:v>19.510000000000002</c:v>
                </c:pt>
                <c:pt idx="100">
                  <c:v>19.8</c:v>
                </c:pt>
                <c:pt idx="101">
                  <c:v>19.399999999999999</c:v>
                </c:pt>
                <c:pt idx="102">
                  <c:v>18.98</c:v>
                </c:pt>
                <c:pt idx="103">
                  <c:v>19.11</c:v>
                </c:pt>
                <c:pt idx="104">
                  <c:v>18.850000000000001</c:v>
                </c:pt>
                <c:pt idx="105">
                  <c:v>18.97</c:v>
                </c:pt>
                <c:pt idx="106">
                  <c:v>18.8</c:v>
                </c:pt>
                <c:pt idx="107">
                  <c:v>19.16</c:v>
                </c:pt>
                <c:pt idx="108">
                  <c:v>19.2</c:v>
                </c:pt>
                <c:pt idx="109">
                  <c:v>19.38</c:v>
                </c:pt>
                <c:pt idx="110">
                  <c:v>19.53</c:v>
                </c:pt>
                <c:pt idx="111">
                  <c:v>19.190000000000001</c:v>
                </c:pt>
                <c:pt idx="112">
                  <c:v>19.27</c:v>
                </c:pt>
                <c:pt idx="113">
                  <c:v>19.57</c:v>
                </c:pt>
                <c:pt idx="114">
                  <c:v>19.54</c:v>
                </c:pt>
                <c:pt idx="115">
                  <c:v>19.940000000000001</c:v>
                </c:pt>
                <c:pt idx="116">
                  <c:v>19.88</c:v>
                </c:pt>
                <c:pt idx="117">
                  <c:v>19.829999999999998</c:v>
                </c:pt>
                <c:pt idx="118">
                  <c:v>19.8</c:v>
                </c:pt>
                <c:pt idx="119">
                  <c:v>19.649999999999999</c:v>
                </c:pt>
                <c:pt idx="120">
                  <c:v>19.940000000000001</c:v>
                </c:pt>
                <c:pt idx="121">
                  <c:v>19.91</c:v>
                </c:pt>
                <c:pt idx="122">
                  <c:v>20.04</c:v>
                </c:pt>
                <c:pt idx="123">
                  <c:v>20.18</c:v>
                </c:pt>
                <c:pt idx="124">
                  <c:v>19.82</c:v>
                </c:pt>
                <c:pt idx="125">
                  <c:v>19.989999999999998</c:v>
                </c:pt>
                <c:pt idx="126">
                  <c:v>20.63</c:v>
                </c:pt>
                <c:pt idx="127">
                  <c:v>21</c:v>
                </c:pt>
                <c:pt idx="128">
                  <c:v>21.5</c:v>
                </c:pt>
                <c:pt idx="129">
                  <c:v>21.36</c:v>
                </c:pt>
                <c:pt idx="130">
                  <c:v>21.34</c:v>
                </c:pt>
                <c:pt idx="131">
                  <c:v>21.4</c:v>
                </c:pt>
                <c:pt idx="132">
                  <c:v>21.61</c:v>
                </c:pt>
                <c:pt idx="133">
                  <c:v>21.95</c:v>
                </c:pt>
                <c:pt idx="134">
                  <c:v>22.56</c:v>
                </c:pt>
                <c:pt idx="135">
                  <c:v>22.04</c:v>
                </c:pt>
                <c:pt idx="136">
                  <c:v>22.24</c:v>
                </c:pt>
                <c:pt idx="137">
                  <c:v>22.19</c:v>
                </c:pt>
                <c:pt idx="138">
                  <c:v>22.66</c:v>
                </c:pt>
                <c:pt idx="139">
                  <c:v>23</c:v>
                </c:pt>
                <c:pt idx="140">
                  <c:v>23.01</c:v>
                </c:pt>
                <c:pt idx="141">
                  <c:v>21.92</c:v>
                </c:pt>
                <c:pt idx="142">
                  <c:v>21.3</c:v>
                </c:pt>
                <c:pt idx="143">
                  <c:v>21.4</c:v>
                </c:pt>
                <c:pt idx="144">
                  <c:v>21.6</c:v>
                </c:pt>
                <c:pt idx="145">
                  <c:v>21.56</c:v>
                </c:pt>
                <c:pt idx="146">
                  <c:v>22.21</c:v>
                </c:pt>
                <c:pt idx="147">
                  <c:v>21.83</c:v>
                </c:pt>
                <c:pt idx="148">
                  <c:v>21.11</c:v>
                </c:pt>
                <c:pt idx="149">
                  <c:v>20.350000000000001</c:v>
                </c:pt>
                <c:pt idx="150">
                  <c:v>20.47</c:v>
                </c:pt>
                <c:pt idx="151">
                  <c:v>20.329999999999998</c:v>
                </c:pt>
                <c:pt idx="152">
                  <c:v>20.350000000000001</c:v>
                </c:pt>
                <c:pt idx="153">
                  <c:v>20.239999999999998</c:v>
                </c:pt>
                <c:pt idx="154">
                  <c:v>20.54</c:v>
                </c:pt>
                <c:pt idx="155">
                  <c:v>20.239999999999998</c:v>
                </c:pt>
                <c:pt idx="156">
                  <c:v>20.41</c:v>
                </c:pt>
                <c:pt idx="157">
                  <c:v>20.48</c:v>
                </c:pt>
                <c:pt idx="158">
                  <c:v>20.399999999999999</c:v>
                </c:pt>
                <c:pt idx="159">
                  <c:v>20.25</c:v>
                </c:pt>
                <c:pt idx="160">
                  <c:v>20.21</c:v>
                </c:pt>
                <c:pt idx="161">
                  <c:v>20.12</c:v>
                </c:pt>
                <c:pt idx="162">
                  <c:v>19.600000000000001</c:v>
                </c:pt>
                <c:pt idx="163">
                  <c:v>19.97</c:v>
                </c:pt>
                <c:pt idx="164">
                  <c:v>19.649999999999999</c:v>
                </c:pt>
                <c:pt idx="165">
                  <c:v>19.329999999999998</c:v>
                </c:pt>
                <c:pt idx="166">
                  <c:v>20.05</c:v>
                </c:pt>
                <c:pt idx="167">
                  <c:v>20.47</c:v>
                </c:pt>
                <c:pt idx="168">
                  <c:v>20.97</c:v>
                </c:pt>
                <c:pt idx="169">
                  <c:v>21.52</c:v>
                </c:pt>
                <c:pt idx="170">
                  <c:v>21.59</c:v>
                </c:pt>
                <c:pt idx="171">
                  <c:v>21.19</c:v>
                </c:pt>
                <c:pt idx="172">
                  <c:v>21.05</c:v>
                </c:pt>
                <c:pt idx="173">
                  <c:v>20.81</c:v>
                </c:pt>
                <c:pt idx="174">
                  <c:v>20.7</c:v>
                </c:pt>
                <c:pt idx="175">
                  <c:v>20.66</c:v>
                </c:pt>
                <c:pt idx="176">
                  <c:v>20.89</c:v>
                </c:pt>
                <c:pt idx="177">
                  <c:v>20.53</c:v>
                </c:pt>
                <c:pt idx="178">
                  <c:v>20.66</c:v>
                </c:pt>
                <c:pt idx="179">
                  <c:v>20.7</c:v>
                </c:pt>
                <c:pt idx="180">
                  <c:v>20.85</c:v>
                </c:pt>
                <c:pt idx="181">
                  <c:v>20.76</c:v>
                </c:pt>
                <c:pt idx="182">
                  <c:v>21.43</c:v>
                </c:pt>
                <c:pt idx="183">
                  <c:v>21.91</c:v>
                </c:pt>
                <c:pt idx="184">
                  <c:v>21.48</c:v>
                </c:pt>
                <c:pt idx="185">
                  <c:v>21.87</c:v>
                </c:pt>
                <c:pt idx="186">
                  <c:v>21.95</c:v>
                </c:pt>
                <c:pt idx="187">
                  <c:v>22.54</c:v>
                </c:pt>
                <c:pt idx="188">
                  <c:v>22.45</c:v>
                </c:pt>
                <c:pt idx="189">
                  <c:v>22.35</c:v>
                </c:pt>
                <c:pt idx="190">
                  <c:v>22.21</c:v>
                </c:pt>
                <c:pt idx="191">
                  <c:v>21.68</c:v>
                </c:pt>
                <c:pt idx="192">
                  <c:v>21.61</c:v>
                </c:pt>
                <c:pt idx="193">
                  <c:v>21.24</c:v>
                </c:pt>
                <c:pt idx="194">
                  <c:v>21.67</c:v>
                </c:pt>
                <c:pt idx="195">
                  <c:v>21.62</c:v>
                </c:pt>
                <c:pt idx="196">
                  <c:v>21.92</c:v>
                </c:pt>
                <c:pt idx="197">
                  <c:v>21.85</c:v>
                </c:pt>
                <c:pt idx="198">
                  <c:v>21.89</c:v>
                </c:pt>
                <c:pt idx="199">
                  <c:v>21.51</c:v>
                </c:pt>
                <c:pt idx="200">
                  <c:v>21.52</c:v>
                </c:pt>
                <c:pt idx="201">
                  <c:v>21.33</c:v>
                </c:pt>
                <c:pt idx="202">
                  <c:v>21.62</c:v>
                </c:pt>
                <c:pt idx="203">
                  <c:v>17.2</c:v>
                </c:pt>
                <c:pt idx="204">
                  <c:v>17.309999999999999</c:v>
                </c:pt>
                <c:pt idx="205">
                  <c:v>16.87</c:v>
                </c:pt>
                <c:pt idx="206">
                  <c:v>16.37</c:v>
                </c:pt>
                <c:pt idx="207">
                  <c:v>15.86</c:v>
                </c:pt>
                <c:pt idx="208">
                  <c:v>15.89</c:v>
                </c:pt>
                <c:pt idx="209">
                  <c:v>15.68</c:v>
                </c:pt>
                <c:pt idx="210">
                  <c:v>15.67</c:v>
                </c:pt>
                <c:pt idx="211">
                  <c:v>15.9</c:v>
                </c:pt>
                <c:pt idx="212">
                  <c:v>15.98</c:v>
                </c:pt>
                <c:pt idx="213">
                  <c:v>15.73</c:v>
                </c:pt>
                <c:pt idx="214">
                  <c:v>15.53</c:v>
                </c:pt>
                <c:pt idx="215">
                  <c:v>15.65</c:v>
                </c:pt>
                <c:pt idx="216">
                  <c:v>15.8</c:v>
                </c:pt>
                <c:pt idx="217">
                  <c:v>16.12</c:v>
                </c:pt>
                <c:pt idx="218">
                  <c:v>16.25</c:v>
                </c:pt>
                <c:pt idx="219">
                  <c:v>16.3</c:v>
                </c:pt>
                <c:pt idx="220">
                  <c:v>16.43</c:v>
                </c:pt>
                <c:pt idx="221">
                  <c:v>16.63</c:v>
                </c:pt>
                <c:pt idx="222">
                  <c:v>17.39</c:v>
                </c:pt>
                <c:pt idx="223">
                  <c:v>17.329999999999998</c:v>
                </c:pt>
                <c:pt idx="224">
                  <c:v>17.16</c:v>
                </c:pt>
                <c:pt idx="225">
                  <c:v>17.48</c:v>
                </c:pt>
                <c:pt idx="226">
                  <c:v>17.21</c:v>
                </c:pt>
                <c:pt idx="227">
                  <c:v>16.98</c:v>
                </c:pt>
                <c:pt idx="228">
                  <c:v>17</c:v>
                </c:pt>
                <c:pt idx="229">
                  <c:v>16.93</c:v>
                </c:pt>
                <c:pt idx="230">
                  <c:v>16.7</c:v>
                </c:pt>
                <c:pt idx="231">
                  <c:v>17.13</c:v>
                </c:pt>
                <c:pt idx="232">
                  <c:v>17.39</c:v>
                </c:pt>
                <c:pt idx="233">
                  <c:v>17.510000000000002</c:v>
                </c:pt>
                <c:pt idx="234">
                  <c:v>17.329999999999998</c:v>
                </c:pt>
                <c:pt idx="235">
                  <c:v>17.059999999999999</c:v>
                </c:pt>
                <c:pt idx="236">
                  <c:v>17</c:v>
                </c:pt>
                <c:pt idx="237">
                  <c:v>16.87</c:v>
                </c:pt>
                <c:pt idx="238">
                  <c:v>16.920000000000002</c:v>
                </c:pt>
                <c:pt idx="239">
                  <c:v>16.690000000000001</c:v>
                </c:pt>
                <c:pt idx="240">
                  <c:v>16.399999999999999</c:v>
                </c:pt>
                <c:pt idx="241">
                  <c:v>16.23</c:v>
                </c:pt>
                <c:pt idx="242">
                  <c:v>16.149999999999999</c:v>
                </c:pt>
                <c:pt idx="243">
                  <c:v>16.36</c:v>
                </c:pt>
                <c:pt idx="244">
                  <c:v>16.47</c:v>
                </c:pt>
                <c:pt idx="245">
                  <c:v>16.649999999999999</c:v>
                </c:pt>
                <c:pt idx="246">
                  <c:v>16.52</c:v>
                </c:pt>
                <c:pt idx="247">
                  <c:v>16.3</c:v>
                </c:pt>
                <c:pt idx="248">
                  <c:v>16.239999999999998</c:v>
                </c:pt>
                <c:pt idx="249">
                  <c:v>16.489999999999998</c:v>
                </c:pt>
                <c:pt idx="250">
                  <c:v>16.45</c:v>
                </c:pt>
                <c:pt idx="251">
                  <c:v>16.72</c:v>
                </c:pt>
                <c:pt idx="252">
                  <c:v>16.71</c:v>
                </c:pt>
                <c:pt idx="253">
                  <c:v>16.68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44-D44F-973F-6C152CA37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3">
                  <a:lumMod val="60000"/>
                  <a:lumOff val="40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142150943"/>
        <c:axId val="1404586207"/>
      </c:stockChart>
      <c:dateAx>
        <c:axId val="2142150943"/>
        <c:scaling>
          <c:orientation val="minMax"/>
        </c:scaling>
        <c:delete val="0"/>
        <c:axPos val="b"/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04586207"/>
        <c:crosses val="autoZero"/>
        <c:auto val="0"/>
        <c:lblOffset val="100"/>
        <c:baseTimeUnit val="days"/>
        <c:majorUnit val="10"/>
      </c:dateAx>
      <c:valAx>
        <c:axId val="14045862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4215094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vs Issued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'Capital vs Issued shares'!$B$1</c:f>
              <c:strCache>
                <c:ptCount val="1"/>
                <c:pt idx="0">
                  <c:v>Shares on Issue</c:v>
                </c:pt>
              </c:strCache>
            </c:strRef>
          </c:tx>
          <c:spPr>
            <a:solidFill>
              <a:srgbClr val="4EA72E"/>
            </a:solidFill>
            <a:ln>
              <a:solidFill>
                <a:srgbClr val="47D359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7.4108604071549858E-2"/>
                  <c:y val="-0.105564476995839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07-6F45-A3CB-466381523AD9}"/>
                </c:ext>
              </c:extLst>
            </c:dLbl>
            <c:dLbl>
              <c:idx val="49"/>
              <c:layout>
                <c:manualLayout>
                  <c:x val="2.4038318739569318E-2"/>
                  <c:y val="-8.2949941446308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07-6F45-A3CB-466381523AD9}"/>
                </c:ext>
              </c:extLst>
            </c:dLbl>
            <c:dLbl>
              <c:idx val="171"/>
              <c:layout>
                <c:manualLayout>
                  <c:x val="-1.6680414948131553E-2"/>
                  <c:y val="-9.6336156419231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07-6F45-A3CB-466381523AD9}"/>
                </c:ext>
              </c:extLst>
            </c:dLbl>
            <c:dLbl>
              <c:idx val="239"/>
              <c:layout>
                <c:manualLayout>
                  <c:x val="-1.9607843137254902E-2"/>
                  <c:y val="-6.0805258833196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07-6F45-A3CB-466381523AD9}"/>
                </c:ext>
              </c:extLst>
            </c:dLbl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'Capital vs Issued shares'!$A$2:$A$255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'Capital vs Issued shares'!$B$2:$B$255</c:f>
              <c:numCache>
                <c:formatCode>#,##0.00##</c:formatCode>
                <c:ptCount val="254"/>
                <c:pt idx="0">
                  <c:v>219496767</c:v>
                </c:pt>
                <c:pt idx="1">
                  <c:v>219496767</c:v>
                </c:pt>
                <c:pt idx="2">
                  <c:v>219496767</c:v>
                </c:pt>
                <c:pt idx="3">
                  <c:v>219496767</c:v>
                </c:pt>
                <c:pt idx="4">
                  <c:v>219525079</c:v>
                </c:pt>
                <c:pt idx="5">
                  <c:v>219525079</c:v>
                </c:pt>
                <c:pt idx="6">
                  <c:v>219525079</c:v>
                </c:pt>
                <c:pt idx="7">
                  <c:v>219525079</c:v>
                </c:pt>
                <c:pt idx="8">
                  <c:v>219525079</c:v>
                </c:pt>
                <c:pt idx="9">
                  <c:v>219525079</c:v>
                </c:pt>
                <c:pt idx="10">
                  <c:v>219525079</c:v>
                </c:pt>
                <c:pt idx="11">
                  <c:v>219525079</c:v>
                </c:pt>
                <c:pt idx="12">
                  <c:v>219525079</c:v>
                </c:pt>
                <c:pt idx="13">
                  <c:v>219525079</c:v>
                </c:pt>
                <c:pt idx="14">
                  <c:v>219525079</c:v>
                </c:pt>
                <c:pt idx="15">
                  <c:v>219525079</c:v>
                </c:pt>
                <c:pt idx="16">
                  <c:v>219525079</c:v>
                </c:pt>
                <c:pt idx="17">
                  <c:v>219525079</c:v>
                </c:pt>
                <c:pt idx="18">
                  <c:v>219525079</c:v>
                </c:pt>
                <c:pt idx="19">
                  <c:v>219525079</c:v>
                </c:pt>
                <c:pt idx="20">
                  <c:v>219525079</c:v>
                </c:pt>
                <c:pt idx="21">
                  <c:v>219525079</c:v>
                </c:pt>
                <c:pt idx="22">
                  <c:v>219525079</c:v>
                </c:pt>
                <c:pt idx="23">
                  <c:v>219525079</c:v>
                </c:pt>
                <c:pt idx="24">
                  <c:v>219525079</c:v>
                </c:pt>
                <c:pt idx="25">
                  <c:v>219557921</c:v>
                </c:pt>
                <c:pt idx="26">
                  <c:v>219557921</c:v>
                </c:pt>
                <c:pt idx="27">
                  <c:v>219557921</c:v>
                </c:pt>
                <c:pt idx="28">
                  <c:v>219557921</c:v>
                </c:pt>
                <c:pt idx="29">
                  <c:v>219557921</c:v>
                </c:pt>
                <c:pt idx="30">
                  <c:v>219557921</c:v>
                </c:pt>
                <c:pt idx="31">
                  <c:v>219557921</c:v>
                </c:pt>
                <c:pt idx="32">
                  <c:v>219557921</c:v>
                </c:pt>
                <c:pt idx="33">
                  <c:v>219557921</c:v>
                </c:pt>
                <c:pt idx="34">
                  <c:v>219557921</c:v>
                </c:pt>
                <c:pt idx="35">
                  <c:v>219557921</c:v>
                </c:pt>
                <c:pt idx="36">
                  <c:v>219557921</c:v>
                </c:pt>
                <c:pt idx="37">
                  <c:v>219557921</c:v>
                </c:pt>
                <c:pt idx="38">
                  <c:v>219557921</c:v>
                </c:pt>
                <c:pt idx="39">
                  <c:v>219557921</c:v>
                </c:pt>
                <c:pt idx="40">
                  <c:v>219557921</c:v>
                </c:pt>
                <c:pt idx="41">
                  <c:v>219557921</c:v>
                </c:pt>
                <c:pt idx="42">
                  <c:v>219557921</c:v>
                </c:pt>
                <c:pt idx="43">
                  <c:v>219557921</c:v>
                </c:pt>
                <c:pt idx="44">
                  <c:v>219557921</c:v>
                </c:pt>
                <c:pt idx="45">
                  <c:v>219587698</c:v>
                </c:pt>
                <c:pt idx="46">
                  <c:v>219587698</c:v>
                </c:pt>
                <c:pt idx="47">
                  <c:v>219587698</c:v>
                </c:pt>
                <c:pt idx="48">
                  <c:v>219587698</c:v>
                </c:pt>
                <c:pt idx="49">
                  <c:v>220908298</c:v>
                </c:pt>
                <c:pt idx="50">
                  <c:v>220908298</c:v>
                </c:pt>
                <c:pt idx="51">
                  <c:v>220908298</c:v>
                </c:pt>
                <c:pt idx="52">
                  <c:v>220908298</c:v>
                </c:pt>
                <c:pt idx="53">
                  <c:v>220908298</c:v>
                </c:pt>
                <c:pt idx="54">
                  <c:v>220908298</c:v>
                </c:pt>
                <c:pt idx="55">
                  <c:v>220908298</c:v>
                </c:pt>
                <c:pt idx="56">
                  <c:v>220908298</c:v>
                </c:pt>
                <c:pt idx="57">
                  <c:v>220908298</c:v>
                </c:pt>
                <c:pt idx="58">
                  <c:v>220908298</c:v>
                </c:pt>
                <c:pt idx="59">
                  <c:v>220908298</c:v>
                </c:pt>
                <c:pt idx="60">
                  <c:v>220908298</c:v>
                </c:pt>
                <c:pt idx="61">
                  <c:v>220908298</c:v>
                </c:pt>
                <c:pt idx="62">
                  <c:v>220908298</c:v>
                </c:pt>
                <c:pt idx="63">
                  <c:v>220908298</c:v>
                </c:pt>
                <c:pt idx="64">
                  <c:v>220908298</c:v>
                </c:pt>
                <c:pt idx="65">
                  <c:v>220908298</c:v>
                </c:pt>
                <c:pt idx="66">
                  <c:v>220908298</c:v>
                </c:pt>
                <c:pt idx="67">
                  <c:v>220935250</c:v>
                </c:pt>
                <c:pt idx="68">
                  <c:v>220935250</c:v>
                </c:pt>
                <c:pt idx="69">
                  <c:v>220935250</c:v>
                </c:pt>
                <c:pt idx="70">
                  <c:v>220935250</c:v>
                </c:pt>
                <c:pt idx="71">
                  <c:v>220935250</c:v>
                </c:pt>
                <c:pt idx="72">
                  <c:v>220935250</c:v>
                </c:pt>
                <c:pt idx="73">
                  <c:v>220939470</c:v>
                </c:pt>
                <c:pt idx="74">
                  <c:v>220939470</c:v>
                </c:pt>
                <c:pt idx="75">
                  <c:v>220939470</c:v>
                </c:pt>
                <c:pt idx="76">
                  <c:v>220939470</c:v>
                </c:pt>
                <c:pt idx="77">
                  <c:v>220939470</c:v>
                </c:pt>
                <c:pt idx="78">
                  <c:v>220939470</c:v>
                </c:pt>
                <c:pt idx="79">
                  <c:v>220939470</c:v>
                </c:pt>
                <c:pt idx="80">
                  <c:v>220939470</c:v>
                </c:pt>
                <c:pt idx="81">
                  <c:v>220939470</c:v>
                </c:pt>
                <c:pt idx="82">
                  <c:v>220939470</c:v>
                </c:pt>
                <c:pt idx="83">
                  <c:v>220939470</c:v>
                </c:pt>
                <c:pt idx="84">
                  <c:v>220939470</c:v>
                </c:pt>
                <c:pt idx="85">
                  <c:v>220939470</c:v>
                </c:pt>
                <c:pt idx="86">
                  <c:v>220939470</c:v>
                </c:pt>
                <c:pt idx="87">
                  <c:v>220939470</c:v>
                </c:pt>
                <c:pt idx="88">
                  <c:v>220969233</c:v>
                </c:pt>
                <c:pt idx="89">
                  <c:v>220969233</c:v>
                </c:pt>
                <c:pt idx="90">
                  <c:v>220969233</c:v>
                </c:pt>
                <c:pt idx="91">
                  <c:v>220969233</c:v>
                </c:pt>
                <c:pt idx="92">
                  <c:v>220969233</c:v>
                </c:pt>
                <c:pt idx="93">
                  <c:v>220969233</c:v>
                </c:pt>
                <c:pt idx="94">
                  <c:v>220969233</c:v>
                </c:pt>
                <c:pt idx="95">
                  <c:v>220969233</c:v>
                </c:pt>
                <c:pt idx="96">
                  <c:v>220969233</c:v>
                </c:pt>
                <c:pt idx="97">
                  <c:v>220969233</c:v>
                </c:pt>
                <c:pt idx="98">
                  <c:v>220969233</c:v>
                </c:pt>
                <c:pt idx="99">
                  <c:v>220969233</c:v>
                </c:pt>
                <c:pt idx="100">
                  <c:v>220969233</c:v>
                </c:pt>
                <c:pt idx="101">
                  <c:v>220969233</c:v>
                </c:pt>
                <c:pt idx="102">
                  <c:v>220969233</c:v>
                </c:pt>
                <c:pt idx="103">
                  <c:v>220969233</c:v>
                </c:pt>
                <c:pt idx="104">
                  <c:v>220969233</c:v>
                </c:pt>
                <c:pt idx="105">
                  <c:v>220969233</c:v>
                </c:pt>
                <c:pt idx="106">
                  <c:v>220969233</c:v>
                </c:pt>
                <c:pt idx="107">
                  <c:v>220970484</c:v>
                </c:pt>
                <c:pt idx="108">
                  <c:v>220970484</c:v>
                </c:pt>
                <c:pt idx="109">
                  <c:v>220970484</c:v>
                </c:pt>
                <c:pt idx="110">
                  <c:v>221002482</c:v>
                </c:pt>
                <c:pt idx="111">
                  <c:v>221002482</c:v>
                </c:pt>
                <c:pt idx="112">
                  <c:v>221002482</c:v>
                </c:pt>
                <c:pt idx="113">
                  <c:v>221002482</c:v>
                </c:pt>
                <c:pt idx="114">
                  <c:v>221002482</c:v>
                </c:pt>
                <c:pt idx="115">
                  <c:v>221002482</c:v>
                </c:pt>
                <c:pt idx="116">
                  <c:v>221002482</c:v>
                </c:pt>
                <c:pt idx="117">
                  <c:v>221002482</c:v>
                </c:pt>
                <c:pt idx="118">
                  <c:v>221002482</c:v>
                </c:pt>
                <c:pt idx="119">
                  <c:v>221002482</c:v>
                </c:pt>
                <c:pt idx="120">
                  <c:v>221002482</c:v>
                </c:pt>
                <c:pt idx="121">
                  <c:v>221002482</c:v>
                </c:pt>
                <c:pt idx="122">
                  <c:v>221002482</c:v>
                </c:pt>
                <c:pt idx="123">
                  <c:v>221002482</c:v>
                </c:pt>
                <c:pt idx="124">
                  <c:v>221002482</c:v>
                </c:pt>
                <c:pt idx="125">
                  <c:v>221002482</c:v>
                </c:pt>
                <c:pt idx="126">
                  <c:v>221002482</c:v>
                </c:pt>
                <c:pt idx="127">
                  <c:v>221002482</c:v>
                </c:pt>
                <c:pt idx="128">
                  <c:v>221031333</c:v>
                </c:pt>
                <c:pt idx="129">
                  <c:v>221031333</c:v>
                </c:pt>
                <c:pt idx="130">
                  <c:v>221031333</c:v>
                </c:pt>
                <c:pt idx="131">
                  <c:v>221031333</c:v>
                </c:pt>
                <c:pt idx="132">
                  <c:v>221031333</c:v>
                </c:pt>
                <c:pt idx="133">
                  <c:v>221031333</c:v>
                </c:pt>
                <c:pt idx="134">
                  <c:v>221031333</c:v>
                </c:pt>
                <c:pt idx="135">
                  <c:v>221031333</c:v>
                </c:pt>
                <c:pt idx="136">
                  <c:v>221031333</c:v>
                </c:pt>
                <c:pt idx="137">
                  <c:v>221031333</c:v>
                </c:pt>
                <c:pt idx="138">
                  <c:v>221031333</c:v>
                </c:pt>
                <c:pt idx="139">
                  <c:v>221031333</c:v>
                </c:pt>
                <c:pt idx="140">
                  <c:v>221031333</c:v>
                </c:pt>
                <c:pt idx="141">
                  <c:v>221031333</c:v>
                </c:pt>
                <c:pt idx="142">
                  <c:v>221031333</c:v>
                </c:pt>
                <c:pt idx="143">
                  <c:v>221031333</c:v>
                </c:pt>
                <c:pt idx="144">
                  <c:v>221031333</c:v>
                </c:pt>
                <c:pt idx="145">
                  <c:v>221031333</c:v>
                </c:pt>
                <c:pt idx="146">
                  <c:v>221031333</c:v>
                </c:pt>
                <c:pt idx="147">
                  <c:v>221031333</c:v>
                </c:pt>
                <c:pt idx="148">
                  <c:v>221031333</c:v>
                </c:pt>
                <c:pt idx="149">
                  <c:v>221031333</c:v>
                </c:pt>
                <c:pt idx="150">
                  <c:v>221031333</c:v>
                </c:pt>
                <c:pt idx="151">
                  <c:v>221031333</c:v>
                </c:pt>
                <c:pt idx="152">
                  <c:v>221058444</c:v>
                </c:pt>
                <c:pt idx="153">
                  <c:v>221058444</c:v>
                </c:pt>
                <c:pt idx="154">
                  <c:v>221058444</c:v>
                </c:pt>
                <c:pt idx="155">
                  <c:v>221058444</c:v>
                </c:pt>
                <c:pt idx="156">
                  <c:v>221058444</c:v>
                </c:pt>
                <c:pt idx="157">
                  <c:v>221058444</c:v>
                </c:pt>
                <c:pt idx="158">
                  <c:v>221058444</c:v>
                </c:pt>
                <c:pt idx="159">
                  <c:v>221058444</c:v>
                </c:pt>
                <c:pt idx="160">
                  <c:v>221058444</c:v>
                </c:pt>
                <c:pt idx="161">
                  <c:v>221058444</c:v>
                </c:pt>
                <c:pt idx="162">
                  <c:v>221058444</c:v>
                </c:pt>
                <c:pt idx="163">
                  <c:v>221058444</c:v>
                </c:pt>
                <c:pt idx="164">
                  <c:v>221058444</c:v>
                </c:pt>
                <c:pt idx="165">
                  <c:v>221058444</c:v>
                </c:pt>
                <c:pt idx="166">
                  <c:v>221058444</c:v>
                </c:pt>
                <c:pt idx="167">
                  <c:v>221058444</c:v>
                </c:pt>
                <c:pt idx="168">
                  <c:v>221058444</c:v>
                </c:pt>
                <c:pt idx="169">
                  <c:v>221058444</c:v>
                </c:pt>
                <c:pt idx="170">
                  <c:v>221058444</c:v>
                </c:pt>
                <c:pt idx="171">
                  <c:v>221808706</c:v>
                </c:pt>
                <c:pt idx="172">
                  <c:v>221842149</c:v>
                </c:pt>
                <c:pt idx="173">
                  <c:v>221842149</c:v>
                </c:pt>
                <c:pt idx="174">
                  <c:v>221842149</c:v>
                </c:pt>
                <c:pt idx="175">
                  <c:v>221842149</c:v>
                </c:pt>
                <c:pt idx="176">
                  <c:v>221842149</c:v>
                </c:pt>
                <c:pt idx="177">
                  <c:v>221842149</c:v>
                </c:pt>
                <c:pt idx="178">
                  <c:v>221842149</c:v>
                </c:pt>
                <c:pt idx="179">
                  <c:v>221842149</c:v>
                </c:pt>
                <c:pt idx="180">
                  <c:v>221842149</c:v>
                </c:pt>
                <c:pt idx="181">
                  <c:v>221842149</c:v>
                </c:pt>
                <c:pt idx="182">
                  <c:v>221842149</c:v>
                </c:pt>
                <c:pt idx="183">
                  <c:v>221842149</c:v>
                </c:pt>
                <c:pt idx="184">
                  <c:v>221845292</c:v>
                </c:pt>
                <c:pt idx="185">
                  <c:v>221845292</c:v>
                </c:pt>
                <c:pt idx="186">
                  <c:v>221845292</c:v>
                </c:pt>
                <c:pt idx="187">
                  <c:v>221845292</c:v>
                </c:pt>
                <c:pt idx="188">
                  <c:v>221845292</c:v>
                </c:pt>
                <c:pt idx="189">
                  <c:v>221845292</c:v>
                </c:pt>
                <c:pt idx="190">
                  <c:v>221845292</c:v>
                </c:pt>
                <c:pt idx="191">
                  <c:v>221845292</c:v>
                </c:pt>
                <c:pt idx="192">
                  <c:v>221845292</c:v>
                </c:pt>
                <c:pt idx="193">
                  <c:v>221872712</c:v>
                </c:pt>
                <c:pt idx="194">
                  <c:v>221872712</c:v>
                </c:pt>
                <c:pt idx="195">
                  <c:v>221872712</c:v>
                </c:pt>
                <c:pt idx="196">
                  <c:v>221872712</c:v>
                </c:pt>
                <c:pt idx="197">
                  <c:v>221872712</c:v>
                </c:pt>
                <c:pt idx="198">
                  <c:v>221872712</c:v>
                </c:pt>
                <c:pt idx="199">
                  <c:v>221872712</c:v>
                </c:pt>
                <c:pt idx="200">
                  <c:v>221872712</c:v>
                </c:pt>
                <c:pt idx="201">
                  <c:v>221872712</c:v>
                </c:pt>
                <c:pt idx="202">
                  <c:v>221872712</c:v>
                </c:pt>
                <c:pt idx="203">
                  <c:v>221872712</c:v>
                </c:pt>
                <c:pt idx="204">
                  <c:v>221872712</c:v>
                </c:pt>
                <c:pt idx="205">
                  <c:v>221872712</c:v>
                </c:pt>
                <c:pt idx="206">
                  <c:v>221872712</c:v>
                </c:pt>
                <c:pt idx="207">
                  <c:v>221872712</c:v>
                </c:pt>
                <c:pt idx="208">
                  <c:v>221872712</c:v>
                </c:pt>
                <c:pt idx="209">
                  <c:v>221872712</c:v>
                </c:pt>
                <c:pt idx="210">
                  <c:v>221872712</c:v>
                </c:pt>
                <c:pt idx="211">
                  <c:v>221872712</c:v>
                </c:pt>
                <c:pt idx="212">
                  <c:v>221872712</c:v>
                </c:pt>
                <c:pt idx="213">
                  <c:v>221872712</c:v>
                </c:pt>
                <c:pt idx="214">
                  <c:v>221872712</c:v>
                </c:pt>
                <c:pt idx="215">
                  <c:v>221872712</c:v>
                </c:pt>
                <c:pt idx="216">
                  <c:v>221911982</c:v>
                </c:pt>
                <c:pt idx="217">
                  <c:v>221911982</c:v>
                </c:pt>
                <c:pt idx="218">
                  <c:v>221911982</c:v>
                </c:pt>
                <c:pt idx="219">
                  <c:v>221911982</c:v>
                </c:pt>
                <c:pt idx="220">
                  <c:v>221911982</c:v>
                </c:pt>
                <c:pt idx="221">
                  <c:v>221911982</c:v>
                </c:pt>
                <c:pt idx="222">
                  <c:v>221911982</c:v>
                </c:pt>
                <c:pt idx="223">
                  <c:v>221911982</c:v>
                </c:pt>
                <c:pt idx="224">
                  <c:v>221911982</c:v>
                </c:pt>
                <c:pt idx="225">
                  <c:v>221911982</c:v>
                </c:pt>
                <c:pt idx="226">
                  <c:v>221911982</c:v>
                </c:pt>
                <c:pt idx="227">
                  <c:v>221911982</c:v>
                </c:pt>
                <c:pt idx="228">
                  <c:v>221911982</c:v>
                </c:pt>
                <c:pt idx="229">
                  <c:v>221911982</c:v>
                </c:pt>
                <c:pt idx="230">
                  <c:v>221911982</c:v>
                </c:pt>
                <c:pt idx="231">
                  <c:v>221911982</c:v>
                </c:pt>
                <c:pt idx="232">
                  <c:v>221911982</c:v>
                </c:pt>
                <c:pt idx="233">
                  <c:v>221911982</c:v>
                </c:pt>
                <c:pt idx="234">
                  <c:v>221911982</c:v>
                </c:pt>
                <c:pt idx="235">
                  <c:v>221911982</c:v>
                </c:pt>
                <c:pt idx="236">
                  <c:v>221911982</c:v>
                </c:pt>
                <c:pt idx="237">
                  <c:v>221911982</c:v>
                </c:pt>
                <c:pt idx="238">
                  <c:v>221911982</c:v>
                </c:pt>
                <c:pt idx="239">
                  <c:v>221945650</c:v>
                </c:pt>
                <c:pt idx="240">
                  <c:v>221945650</c:v>
                </c:pt>
                <c:pt idx="241">
                  <c:v>221945650</c:v>
                </c:pt>
                <c:pt idx="242">
                  <c:v>221945650</c:v>
                </c:pt>
                <c:pt idx="243">
                  <c:v>221945650</c:v>
                </c:pt>
                <c:pt idx="244">
                  <c:v>221945650</c:v>
                </c:pt>
                <c:pt idx="245">
                  <c:v>221945650</c:v>
                </c:pt>
                <c:pt idx="246">
                  <c:v>221945650</c:v>
                </c:pt>
                <c:pt idx="247">
                  <c:v>221945650</c:v>
                </c:pt>
                <c:pt idx="248">
                  <c:v>221945650</c:v>
                </c:pt>
                <c:pt idx="249">
                  <c:v>221945650</c:v>
                </c:pt>
                <c:pt idx="250">
                  <c:v>221945650</c:v>
                </c:pt>
                <c:pt idx="251">
                  <c:v>221945650</c:v>
                </c:pt>
                <c:pt idx="252">
                  <c:v>221945650</c:v>
                </c:pt>
                <c:pt idx="253">
                  <c:v>221945650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F-4398-AA24-CB4755A4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14152"/>
        <c:axId val="881088520"/>
      </c:barChart>
      <c:lineChart>
        <c:grouping val="standard"/>
        <c:varyColors val="0"/>
        <c:ser>
          <c:idx val="1"/>
          <c:order val="1"/>
          <c:tx>
            <c:strRef>
              <c:f>'Capital vs Issued shares'!$C$1</c:f>
              <c:strCache>
                <c:ptCount val="1"/>
                <c:pt idx="0">
                  <c:v>Market Capitalisation($m)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40"/>
              <c:layout>
                <c:manualLayout>
                  <c:x val="-2.1475256769374347E-2"/>
                  <c:y val="-4.4371405094494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DD-E34B-8053-7B7E382FB391}"/>
                </c:ext>
              </c:extLst>
            </c:dLbl>
            <c:dLbl>
              <c:idx val="202"/>
              <c:layout>
                <c:manualLayout>
                  <c:x val="-2.6435733819507749E-2"/>
                  <c:y val="-6.5735414954806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DD-E34B-8053-7B7E382FB391}"/>
                </c:ext>
              </c:extLst>
            </c:dLbl>
            <c:dLbl>
              <c:idx val="203"/>
              <c:layout>
                <c:manualLayout>
                  <c:x val="-5.4694621695533276E-2"/>
                  <c:y val="6.08052588331963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DD-E34B-8053-7B7E382FB391}"/>
                </c:ext>
              </c:extLst>
            </c:dLbl>
            <c:dLbl>
              <c:idx val="214"/>
              <c:layout>
                <c:manualLayout>
                  <c:x val="-3.4428900580681745E-3"/>
                  <c:y val="7.7239112571898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DD-E34B-8053-7B7E382FB391}"/>
                </c:ext>
              </c:extLst>
            </c:dLbl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'Capital vs Issued shares'!$A$2:$A$255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'Capital vs Issued shares'!$C$2:$C$255</c:f>
              <c:numCache>
                <c:formatCode>#,##0.00##</c:formatCode>
                <c:ptCount val="254"/>
                <c:pt idx="0">
                  <c:v>4488.71</c:v>
                </c:pt>
                <c:pt idx="1">
                  <c:v>4460.17</c:v>
                </c:pt>
                <c:pt idx="2">
                  <c:v>4394.33</c:v>
                </c:pt>
                <c:pt idx="3">
                  <c:v>4385.55</c:v>
                </c:pt>
                <c:pt idx="4">
                  <c:v>4359.7700000000004</c:v>
                </c:pt>
                <c:pt idx="5">
                  <c:v>4476.12</c:v>
                </c:pt>
                <c:pt idx="6">
                  <c:v>4513.4399999999996</c:v>
                </c:pt>
                <c:pt idx="7">
                  <c:v>4544.17</c:v>
                </c:pt>
                <c:pt idx="8">
                  <c:v>4484.8999999999996</c:v>
                </c:pt>
                <c:pt idx="9">
                  <c:v>4511.24</c:v>
                </c:pt>
                <c:pt idx="10">
                  <c:v>4511.24</c:v>
                </c:pt>
                <c:pt idx="11">
                  <c:v>4500.26</c:v>
                </c:pt>
                <c:pt idx="12">
                  <c:v>4528.8</c:v>
                </c:pt>
                <c:pt idx="13">
                  <c:v>4616.6099999999997</c:v>
                </c:pt>
                <c:pt idx="14">
                  <c:v>4642.96</c:v>
                </c:pt>
                <c:pt idx="15">
                  <c:v>4627.59</c:v>
                </c:pt>
                <c:pt idx="16">
                  <c:v>4618.8100000000004</c:v>
                </c:pt>
                <c:pt idx="17">
                  <c:v>4612.22</c:v>
                </c:pt>
                <c:pt idx="18">
                  <c:v>4649.54</c:v>
                </c:pt>
                <c:pt idx="19">
                  <c:v>4618.8100000000004</c:v>
                </c:pt>
                <c:pt idx="20">
                  <c:v>4673.6899999999996</c:v>
                </c:pt>
                <c:pt idx="21">
                  <c:v>4673.6899999999996</c:v>
                </c:pt>
                <c:pt idx="22">
                  <c:v>4735.16</c:v>
                </c:pt>
                <c:pt idx="23">
                  <c:v>4741.74</c:v>
                </c:pt>
                <c:pt idx="24">
                  <c:v>4781.26</c:v>
                </c:pt>
                <c:pt idx="25">
                  <c:v>4797.34</c:v>
                </c:pt>
                <c:pt idx="26">
                  <c:v>4770.99</c:v>
                </c:pt>
                <c:pt idx="27">
                  <c:v>4733.67</c:v>
                </c:pt>
                <c:pt idx="28">
                  <c:v>4716.1000000000004</c:v>
                </c:pt>
                <c:pt idx="29">
                  <c:v>4691.95</c:v>
                </c:pt>
                <c:pt idx="30">
                  <c:v>4691.95</c:v>
                </c:pt>
                <c:pt idx="31">
                  <c:v>4779.78</c:v>
                </c:pt>
                <c:pt idx="32">
                  <c:v>4770.99</c:v>
                </c:pt>
                <c:pt idx="33">
                  <c:v>4764.41</c:v>
                </c:pt>
                <c:pt idx="34">
                  <c:v>4770.99</c:v>
                </c:pt>
                <c:pt idx="35">
                  <c:v>4678.78</c:v>
                </c:pt>
                <c:pt idx="36">
                  <c:v>4731.47</c:v>
                </c:pt>
                <c:pt idx="37">
                  <c:v>4790.75</c:v>
                </c:pt>
                <c:pt idx="38">
                  <c:v>4685.37</c:v>
                </c:pt>
                <c:pt idx="39">
                  <c:v>4770.99</c:v>
                </c:pt>
                <c:pt idx="40">
                  <c:v>4586.5600000000004</c:v>
                </c:pt>
                <c:pt idx="41">
                  <c:v>4700.74</c:v>
                </c:pt>
                <c:pt idx="42">
                  <c:v>4790.75</c:v>
                </c:pt>
                <c:pt idx="43">
                  <c:v>4630.4799999999996</c:v>
                </c:pt>
                <c:pt idx="44">
                  <c:v>4507.5200000000004</c:v>
                </c:pt>
                <c:pt idx="45">
                  <c:v>4567.42</c:v>
                </c:pt>
                <c:pt idx="46">
                  <c:v>4628.91</c:v>
                </c:pt>
                <c:pt idx="47">
                  <c:v>4740.8999999999996</c:v>
                </c:pt>
                <c:pt idx="48">
                  <c:v>4723.33</c:v>
                </c:pt>
                <c:pt idx="49">
                  <c:v>4800.34</c:v>
                </c:pt>
                <c:pt idx="50">
                  <c:v>4848.9399999999996</c:v>
                </c:pt>
                <c:pt idx="51">
                  <c:v>4784.87</c:v>
                </c:pt>
                <c:pt idx="52">
                  <c:v>4639.07</c:v>
                </c:pt>
                <c:pt idx="53">
                  <c:v>4674.42</c:v>
                </c:pt>
                <c:pt idx="54">
                  <c:v>4643.49</c:v>
                </c:pt>
                <c:pt idx="55">
                  <c:v>4687.67</c:v>
                </c:pt>
                <c:pt idx="56">
                  <c:v>4709.76</c:v>
                </c:pt>
                <c:pt idx="57">
                  <c:v>4645.7</c:v>
                </c:pt>
                <c:pt idx="58">
                  <c:v>4692.09</c:v>
                </c:pt>
                <c:pt idx="59">
                  <c:v>4742.8999999999996</c:v>
                </c:pt>
                <c:pt idx="60">
                  <c:v>4736.2700000000004</c:v>
                </c:pt>
                <c:pt idx="61">
                  <c:v>4826.8500000000004</c:v>
                </c:pt>
                <c:pt idx="62">
                  <c:v>4791.5</c:v>
                </c:pt>
                <c:pt idx="63">
                  <c:v>4665.58</c:v>
                </c:pt>
                <c:pt idx="64">
                  <c:v>4762.78</c:v>
                </c:pt>
                <c:pt idx="65">
                  <c:v>4672.21</c:v>
                </c:pt>
                <c:pt idx="66">
                  <c:v>4782.66</c:v>
                </c:pt>
                <c:pt idx="67">
                  <c:v>4697.08</c:v>
                </c:pt>
                <c:pt idx="68">
                  <c:v>4734.6400000000003</c:v>
                </c:pt>
                <c:pt idx="69">
                  <c:v>4719.18</c:v>
                </c:pt>
                <c:pt idx="70">
                  <c:v>4719.18</c:v>
                </c:pt>
                <c:pt idx="71">
                  <c:v>4690.46</c:v>
                </c:pt>
                <c:pt idx="72">
                  <c:v>4615.34</c:v>
                </c:pt>
                <c:pt idx="73">
                  <c:v>4652.99</c:v>
                </c:pt>
                <c:pt idx="74">
                  <c:v>4648.57</c:v>
                </c:pt>
                <c:pt idx="75">
                  <c:v>4416.58</c:v>
                </c:pt>
                <c:pt idx="76">
                  <c:v>4478.4399999999996</c:v>
                </c:pt>
                <c:pt idx="77">
                  <c:v>4637.5200000000004</c:v>
                </c:pt>
                <c:pt idx="78">
                  <c:v>4584.49</c:v>
                </c:pt>
                <c:pt idx="79">
                  <c:v>4637.5200000000004</c:v>
                </c:pt>
                <c:pt idx="80">
                  <c:v>4681.71</c:v>
                </c:pt>
                <c:pt idx="81">
                  <c:v>4686.13</c:v>
                </c:pt>
                <c:pt idx="82">
                  <c:v>4613.22</c:v>
                </c:pt>
                <c:pt idx="83">
                  <c:v>4522.63</c:v>
                </c:pt>
                <c:pt idx="84">
                  <c:v>4529.26</c:v>
                </c:pt>
                <c:pt idx="85">
                  <c:v>4432.05</c:v>
                </c:pt>
                <c:pt idx="86">
                  <c:v>4549.1400000000003</c:v>
                </c:pt>
                <c:pt idx="87">
                  <c:v>4650.78</c:v>
                </c:pt>
                <c:pt idx="88">
                  <c:v>4560.8</c:v>
                </c:pt>
                <c:pt idx="89">
                  <c:v>4512.1899999999996</c:v>
                </c:pt>
                <c:pt idx="90">
                  <c:v>4384.03</c:v>
                </c:pt>
                <c:pt idx="91">
                  <c:v>4549.76</c:v>
                </c:pt>
                <c:pt idx="92">
                  <c:v>4556.3900000000003</c:v>
                </c:pt>
                <c:pt idx="93">
                  <c:v>4574.0600000000004</c:v>
                </c:pt>
                <c:pt idx="94">
                  <c:v>4505.5600000000004</c:v>
                </c:pt>
                <c:pt idx="95">
                  <c:v>4516.6099999999997</c:v>
                </c:pt>
                <c:pt idx="96">
                  <c:v>4563.01</c:v>
                </c:pt>
                <c:pt idx="97">
                  <c:v>4494.51</c:v>
                </c:pt>
                <c:pt idx="98">
                  <c:v>4419.38</c:v>
                </c:pt>
                <c:pt idx="99">
                  <c:v>4311.1099999999997</c:v>
                </c:pt>
                <c:pt idx="100">
                  <c:v>4375.1899999999996</c:v>
                </c:pt>
                <c:pt idx="101">
                  <c:v>4286.8</c:v>
                </c:pt>
                <c:pt idx="102">
                  <c:v>4194</c:v>
                </c:pt>
                <c:pt idx="103">
                  <c:v>4222.72</c:v>
                </c:pt>
                <c:pt idx="104">
                  <c:v>4165.2700000000004</c:v>
                </c:pt>
                <c:pt idx="105">
                  <c:v>4191.79</c:v>
                </c:pt>
                <c:pt idx="106">
                  <c:v>4154.22</c:v>
                </c:pt>
                <c:pt idx="107">
                  <c:v>4233.79</c:v>
                </c:pt>
                <c:pt idx="108">
                  <c:v>4242.63</c:v>
                </c:pt>
                <c:pt idx="109">
                  <c:v>4282.41</c:v>
                </c:pt>
                <c:pt idx="110">
                  <c:v>4316.18</c:v>
                </c:pt>
                <c:pt idx="111">
                  <c:v>4241.04</c:v>
                </c:pt>
                <c:pt idx="112">
                  <c:v>4258.72</c:v>
                </c:pt>
                <c:pt idx="113">
                  <c:v>4325.0200000000004</c:v>
                </c:pt>
                <c:pt idx="114">
                  <c:v>4318.3900000000003</c:v>
                </c:pt>
                <c:pt idx="115">
                  <c:v>4406.79</c:v>
                </c:pt>
                <c:pt idx="116">
                  <c:v>4393.53</c:v>
                </c:pt>
                <c:pt idx="117">
                  <c:v>4382.4799999999996</c:v>
                </c:pt>
                <c:pt idx="118">
                  <c:v>4375.8500000000004</c:v>
                </c:pt>
                <c:pt idx="119">
                  <c:v>4342.7</c:v>
                </c:pt>
                <c:pt idx="120">
                  <c:v>4406.79</c:v>
                </c:pt>
                <c:pt idx="121">
                  <c:v>4400.16</c:v>
                </c:pt>
                <c:pt idx="122">
                  <c:v>4428.8900000000003</c:v>
                </c:pt>
                <c:pt idx="123">
                  <c:v>4459.83</c:v>
                </c:pt>
                <c:pt idx="124">
                  <c:v>4380.2700000000004</c:v>
                </c:pt>
                <c:pt idx="125">
                  <c:v>4417.84</c:v>
                </c:pt>
                <c:pt idx="126">
                  <c:v>4559.28</c:v>
                </c:pt>
                <c:pt idx="127">
                  <c:v>4641.05</c:v>
                </c:pt>
                <c:pt idx="128">
                  <c:v>4752.17</c:v>
                </c:pt>
                <c:pt idx="129">
                  <c:v>4721.2299999999996</c:v>
                </c:pt>
                <c:pt idx="130">
                  <c:v>4716.8100000000004</c:v>
                </c:pt>
                <c:pt idx="131">
                  <c:v>4730.07</c:v>
                </c:pt>
                <c:pt idx="132">
                  <c:v>4776.49</c:v>
                </c:pt>
                <c:pt idx="133">
                  <c:v>4851.6400000000003</c:v>
                </c:pt>
                <c:pt idx="134">
                  <c:v>4986.47</c:v>
                </c:pt>
                <c:pt idx="135">
                  <c:v>4871.53</c:v>
                </c:pt>
                <c:pt idx="136">
                  <c:v>4915.74</c:v>
                </c:pt>
                <c:pt idx="137">
                  <c:v>4904.6899999999996</c:v>
                </c:pt>
                <c:pt idx="138">
                  <c:v>5008.57</c:v>
                </c:pt>
                <c:pt idx="139">
                  <c:v>5083.72</c:v>
                </c:pt>
                <c:pt idx="140">
                  <c:v>5085.93</c:v>
                </c:pt>
                <c:pt idx="141">
                  <c:v>4845.01</c:v>
                </c:pt>
                <c:pt idx="142">
                  <c:v>4707.97</c:v>
                </c:pt>
                <c:pt idx="143">
                  <c:v>4730.07</c:v>
                </c:pt>
                <c:pt idx="144">
                  <c:v>4774.28</c:v>
                </c:pt>
                <c:pt idx="145">
                  <c:v>4765.4399999999996</c:v>
                </c:pt>
                <c:pt idx="146">
                  <c:v>4909.1099999999997</c:v>
                </c:pt>
                <c:pt idx="147">
                  <c:v>4825.1099999999997</c:v>
                </c:pt>
                <c:pt idx="148">
                  <c:v>4665.97</c:v>
                </c:pt>
                <c:pt idx="149">
                  <c:v>4497.99</c:v>
                </c:pt>
                <c:pt idx="150">
                  <c:v>4524.51</c:v>
                </c:pt>
                <c:pt idx="151">
                  <c:v>4493.57</c:v>
                </c:pt>
                <c:pt idx="152">
                  <c:v>4498.54</c:v>
                </c:pt>
                <c:pt idx="153">
                  <c:v>4474.22</c:v>
                </c:pt>
                <c:pt idx="154">
                  <c:v>4540.54</c:v>
                </c:pt>
                <c:pt idx="155">
                  <c:v>4474.22</c:v>
                </c:pt>
                <c:pt idx="156">
                  <c:v>4511.8</c:v>
                </c:pt>
                <c:pt idx="157">
                  <c:v>4527.28</c:v>
                </c:pt>
                <c:pt idx="158">
                  <c:v>4509.59</c:v>
                </c:pt>
                <c:pt idx="159">
                  <c:v>4476.43</c:v>
                </c:pt>
                <c:pt idx="160">
                  <c:v>4467.59</c:v>
                </c:pt>
                <c:pt idx="161">
                  <c:v>4447.7</c:v>
                </c:pt>
                <c:pt idx="162">
                  <c:v>4332.75</c:v>
                </c:pt>
                <c:pt idx="163">
                  <c:v>4414.54</c:v>
                </c:pt>
                <c:pt idx="164">
                  <c:v>4343.8</c:v>
                </c:pt>
                <c:pt idx="165">
                  <c:v>4273.0600000000004</c:v>
                </c:pt>
                <c:pt idx="166">
                  <c:v>4432.22</c:v>
                </c:pt>
                <c:pt idx="167">
                  <c:v>4525.07</c:v>
                </c:pt>
                <c:pt idx="168">
                  <c:v>4635.6000000000004</c:v>
                </c:pt>
                <c:pt idx="169">
                  <c:v>4757.18</c:v>
                </c:pt>
                <c:pt idx="170">
                  <c:v>4772.6499999999996</c:v>
                </c:pt>
                <c:pt idx="171">
                  <c:v>4700.13</c:v>
                </c:pt>
                <c:pt idx="172">
                  <c:v>4669.78</c:v>
                </c:pt>
                <c:pt idx="173">
                  <c:v>4616.54</c:v>
                </c:pt>
                <c:pt idx="174">
                  <c:v>4592.13</c:v>
                </c:pt>
                <c:pt idx="175">
                  <c:v>4583.26</c:v>
                </c:pt>
                <c:pt idx="176">
                  <c:v>4634.28</c:v>
                </c:pt>
                <c:pt idx="177">
                  <c:v>4554.42</c:v>
                </c:pt>
                <c:pt idx="178">
                  <c:v>4583.26</c:v>
                </c:pt>
                <c:pt idx="179">
                  <c:v>4592.13</c:v>
                </c:pt>
                <c:pt idx="180">
                  <c:v>4625.41</c:v>
                </c:pt>
                <c:pt idx="181">
                  <c:v>4605.4399999999996</c:v>
                </c:pt>
                <c:pt idx="182">
                  <c:v>4754.08</c:v>
                </c:pt>
                <c:pt idx="183">
                  <c:v>4860.5600000000004</c:v>
                </c:pt>
                <c:pt idx="184">
                  <c:v>4765.24</c:v>
                </c:pt>
                <c:pt idx="185">
                  <c:v>4851.76</c:v>
                </c:pt>
                <c:pt idx="186">
                  <c:v>4869.5</c:v>
                </c:pt>
                <c:pt idx="187">
                  <c:v>5000.3900000000003</c:v>
                </c:pt>
                <c:pt idx="188">
                  <c:v>4980.43</c:v>
                </c:pt>
                <c:pt idx="189">
                  <c:v>4958.24</c:v>
                </c:pt>
                <c:pt idx="190">
                  <c:v>4927.18</c:v>
                </c:pt>
                <c:pt idx="191">
                  <c:v>4809.6099999999997</c:v>
                </c:pt>
                <c:pt idx="192">
                  <c:v>4794.08</c:v>
                </c:pt>
                <c:pt idx="193">
                  <c:v>4712.58</c:v>
                </c:pt>
                <c:pt idx="194">
                  <c:v>4807.9799999999996</c:v>
                </c:pt>
                <c:pt idx="195">
                  <c:v>4796.8900000000003</c:v>
                </c:pt>
                <c:pt idx="196">
                  <c:v>4863.45</c:v>
                </c:pt>
                <c:pt idx="197">
                  <c:v>4847.92</c:v>
                </c:pt>
                <c:pt idx="198">
                  <c:v>4856.79</c:v>
                </c:pt>
                <c:pt idx="199">
                  <c:v>4772.4799999999996</c:v>
                </c:pt>
                <c:pt idx="200">
                  <c:v>4774.7</c:v>
                </c:pt>
                <c:pt idx="201">
                  <c:v>4732.54</c:v>
                </c:pt>
                <c:pt idx="202">
                  <c:v>4796.8900000000003</c:v>
                </c:pt>
                <c:pt idx="203">
                  <c:v>3816.21</c:v>
                </c:pt>
                <c:pt idx="204">
                  <c:v>3840.62</c:v>
                </c:pt>
                <c:pt idx="205">
                  <c:v>3742.99</c:v>
                </c:pt>
                <c:pt idx="206">
                  <c:v>3632.06</c:v>
                </c:pt>
                <c:pt idx="207">
                  <c:v>3518.9</c:v>
                </c:pt>
                <c:pt idx="208">
                  <c:v>3525.56</c:v>
                </c:pt>
                <c:pt idx="209">
                  <c:v>3478.96</c:v>
                </c:pt>
                <c:pt idx="210">
                  <c:v>3476.75</c:v>
                </c:pt>
                <c:pt idx="211">
                  <c:v>3527.78</c:v>
                </c:pt>
                <c:pt idx="212">
                  <c:v>3545.53</c:v>
                </c:pt>
                <c:pt idx="213">
                  <c:v>3490.06</c:v>
                </c:pt>
                <c:pt idx="214">
                  <c:v>3445.68</c:v>
                </c:pt>
                <c:pt idx="215">
                  <c:v>3472.31</c:v>
                </c:pt>
                <c:pt idx="216">
                  <c:v>3506.21</c:v>
                </c:pt>
                <c:pt idx="217">
                  <c:v>3577.22</c:v>
                </c:pt>
                <c:pt idx="218">
                  <c:v>3606.07</c:v>
                </c:pt>
                <c:pt idx="219">
                  <c:v>3617.17</c:v>
                </c:pt>
                <c:pt idx="220">
                  <c:v>3646.01</c:v>
                </c:pt>
                <c:pt idx="221">
                  <c:v>3690.4</c:v>
                </c:pt>
                <c:pt idx="222">
                  <c:v>3859.05</c:v>
                </c:pt>
                <c:pt idx="223">
                  <c:v>3845.73</c:v>
                </c:pt>
                <c:pt idx="224">
                  <c:v>3808.01</c:v>
                </c:pt>
                <c:pt idx="225">
                  <c:v>3879.02</c:v>
                </c:pt>
                <c:pt idx="226">
                  <c:v>3819.11</c:v>
                </c:pt>
                <c:pt idx="227">
                  <c:v>3768.07</c:v>
                </c:pt>
                <c:pt idx="228">
                  <c:v>3772.5</c:v>
                </c:pt>
                <c:pt idx="229">
                  <c:v>3756.97</c:v>
                </c:pt>
                <c:pt idx="230">
                  <c:v>3705.93</c:v>
                </c:pt>
                <c:pt idx="231">
                  <c:v>3801.35</c:v>
                </c:pt>
                <c:pt idx="232">
                  <c:v>3859.05</c:v>
                </c:pt>
                <c:pt idx="233">
                  <c:v>3885.68</c:v>
                </c:pt>
                <c:pt idx="234">
                  <c:v>3845.73</c:v>
                </c:pt>
                <c:pt idx="235">
                  <c:v>3785.82</c:v>
                </c:pt>
                <c:pt idx="236">
                  <c:v>3772.5</c:v>
                </c:pt>
                <c:pt idx="237">
                  <c:v>3743.66</c:v>
                </c:pt>
                <c:pt idx="238">
                  <c:v>3754.75</c:v>
                </c:pt>
                <c:pt idx="239">
                  <c:v>3704.27</c:v>
                </c:pt>
                <c:pt idx="240">
                  <c:v>3639.91</c:v>
                </c:pt>
                <c:pt idx="241">
                  <c:v>3602.18</c:v>
                </c:pt>
                <c:pt idx="242">
                  <c:v>3584.42</c:v>
                </c:pt>
                <c:pt idx="243">
                  <c:v>3631.03</c:v>
                </c:pt>
                <c:pt idx="244">
                  <c:v>3655.44</c:v>
                </c:pt>
                <c:pt idx="245">
                  <c:v>3695.4</c:v>
                </c:pt>
                <c:pt idx="246">
                  <c:v>3666.54</c:v>
                </c:pt>
                <c:pt idx="247">
                  <c:v>3617.71</c:v>
                </c:pt>
                <c:pt idx="248">
                  <c:v>3604.4</c:v>
                </c:pt>
                <c:pt idx="249">
                  <c:v>3659.88</c:v>
                </c:pt>
                <c:pt idx="250">
                  <c:v>3651.01</c:v>
                </c:pt>
                <c:pt idx="251">
                  <c:v>3710.93</c:v>
                </c:pt>
                <c:pt idx="252">
                  <c:v>3708.71</c:v>
                </c:pt>
                <c:pt idx="253">
                  <c:v>3702.05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9F-4398-AA24-CB4755A4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373448"/>
        <c:axId val="2005354504"/>
      </c:lineChart>
      <c:catAx>
        <c:axId val="61741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088520"/>
        <c:crosses val="autoZero"/>
        <c:auto val="1"/>
        <c:lblAlgn val="ctr"/>
        <c:lblOffset val="100"/>
        <c:tickLblSkip val="10"/>
        <c:noMultiLvlLbl val="0"/>
      </c:catAx>
      <c:valAx>
        <c:axId val="88108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solidFill>
            <a:srgbClr val="C1F0C8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14152"/>
        <c:crosses val="autoZero"/>
        <c:crossBetween val="between"/>
      </c:valAx>
      <c:valAx>
        <c:axId val="2005354504"/>
        <c:scaling>
          <c:orientation val="minMax"/>
        </c:scaling>
        <c:delete val="0"/>
        <c:axPos val="r"/>
        <c:numFmt formatCode="#,##0.00##" sourceLinked="1"/>
        <c:majorTickMark val="none"/>
        <c:minorTickMark val="none"/>
        <c:tickLblPos val="nextTo"/>
        <c:spPr>
          <a:solidFill>
            <a:srgbClr val="FBE2D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73448"/>
        <c:crosses val="max"/>
        <c:crossBetween val="between"/>
        <c:majorUnit val="500"/>
      </c:valAx>
      <c:catAx>
        <c:axId val="2005373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5354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 Yield from 2014</a:t>
            </a:r>
            <a:r>
              <a:rPr lang="en-US" baseline="0"/>
              <a:t> to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Dividend</c:v>
          </c:tx>
          <c:spPr>
            <a:solidFill>
              <a:srgbClr val="83E28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'Dividend Yield'!$B$1:$L$1</c:f>
              <c:numCache>
                <c:formatCode>yyyy</c:formatCode>
                <c:ptCount val="11"/>
                <c:pt idx="0">
                  <c:v>41791</c:v>
                </c:pt>
                <c:pt idx="1">
                  <c:v>42156</c:v>
                </c:pt>
                <c:pt idx="2">
                  <c:v>42522</c:v>
                </c:pt>
                <c:pt idx="3">
                  <c:v>42887</c:v>
                </c:pt>
                <c:pt idx="4">
                  <c:v>43252</c:v>
                </c:pt>
                <c:pt idx="5">
                  <c:v>43617</c:v>
                </c:pt>
                <c:pt idx="6">
                  <c:v>43983</c:v>
                </c:pt>
                <c:pt idx="7">
                  <c:v>44348</c:v>
                </c:pt>
                <c:pt idx="8">
                  <c:v>44713</c:v>
                </c:pt>
                <c:pt idx="9">
                  <c:v>45078</c:v>
                </c:pt>
                <c:pt idx="10">
                  <c:v>45444</c:v>
                </c:pt>
              </c:numCache>
            </c:numRef>
          </c:cat>
          <c:val>
            <c:numRef>
              <c:f>'Dividend Yield'!$B$2:$L$2</c:f>
              <c:numCache>
                <c:formatCode>0.00</c:formatCode>
                <c:ptCount val="11"/>
                <c:pt idx="0">
                  <c:v>152</c:v>
                </c:pt>
                <c:pt idx="1">
                  <c:v>97</c:v>
                </c:pt>
                <c:pt idx="2">
                  <c:v>152</c:v>
                </c:pt>
                <c:pt idx="3" formatCode="#,##0.00">
                  <c:v>139</c:v>
                </c:pt>
                <c:pt idx="4" formatCode="#,##0.00">
                  <c:v>167</c:v>
                </c:pt>
                <c:pt idx="5" formatCode="#,##0.00">
                  <c:v>158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#,##0.00">
                  <c:v>18</c:v>
                </c:pt>
                <c:pt idx="10" formatCode="#,##0.0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7-45E8-AC41-B197CC5CB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025672"/>
        <c:axId val="1191022600"/>
      </c:barChart>
      <c:lineChart>
        <c:grouping val="standard"/>
        <c:varyColors val="0"/>
        <c:ser>
          <c:idx val="1"/>
          <c:order val="1"/>
          <c:tx>
            <c:strRef>
              <c:f>{"Dividend Yield"}</c:f>
              <c:strCache>
                <c:ptCount val="1"/>
                <c:pt idx="0">
                  <c:v>Dividend Yield</c:v>
                </c:pt>
              </c:strCache>
            </c:strRef>
          </c:tx>
          <c:spPr>
            <a:ln w="28575" cap="rnd">
              <a:solidFill>
                <a:srgbClr val="D86DC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86DCD"/>
              </a:solidFill>
              <a:ln w="9525">
                <a:solidFill>
                  <a:srgbClr val="D86DCD"/>
                </a:solidFill>
                <a:prstDash val="solid"/>
              </a:ln>
              <a:effectLst/>
            </c:spPr>
          </c:marker>
          <c:cat>
            <c:numRef>
              <c:f>'Dividend Yield'!$B$1:$L$1</c:f>
              <c:numCache>
                <c:formatCode>yyyy</c:formatCode>
                <c:ptCount val="11"/>
                <c:pt idx="0">
                  <c:v>41791</c:v>
                </c:pt>
                <c:pt idx="1">
                  <c:v>42156</c:v>
                </c:pt>
                <c:pt idx="2">
                  <c:v>42522</c:v>
                </c:pt>
                <c:pt idx="3">
                  <c:v>42887</c:v>
                </c:pt>
                <c:pt idx="4">
                  <c:v>43252</c:v>
                </c:pt>
                <c:pt idx="5">
                  <c:v>43617</c:v>
                </c:pt>
                <c:pt idx="6">
                  <c:v>43983</c:v>
                </c:pt>
                <c:pt idx="7">
                  <c:v>44348</c:v>
                </c:pt>
                <c:pt idx="8">
                  <c:v>44713</c:v>
                </c:pt>
                <c:pt idx="9">
                  <c:v>45078</c:v>
                </c:pt>
                <c:pt idx="10">
                  <c:v>45444</c:v>
                </c:pt>
              </c:numCache>
            </c:numRef>
          </c:cat>
          <c:val>
            <c:numRef>
              <c:f>'Dividend Yield'!$B$3:$L$3</c:f>
              <c:numCache>
                <c:formatCode>0.00%</c:formatCode>
                <c:ptCount val="11"/>
                <c:pt idx="0">
                  <c:v>3.4200000000000001E-2</c:v>
                </c:pt>
                <c:pt idx="1">
                  <c:v>2.8400000000000002E-2</c:v>
                </c:pt>
                <c:pt idx="2">
                  <c:v>4.8099999999999997E-2</c:v>
                </c:pt>
                <c:pt idx="3">
                  <c:v>3.6299999999999999E-2</c:v>
                </c:pt>
                <c:pt idx="4">
                  <c:v>2.6200000000000001E-2</c:v>
                </c:pt>
                <c:pt idx="5">
                  <c:v>3.7999999999999999E-2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9.4000000000000004E-3</c:v>
                </c:pt>
                <c:pt idx="10">
                  <c:v>1.9800000000000002E-2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77-45E8-AC41-B197CC5CB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822088"/>
        <c:axId val="1491832840"/>
      </c:lineChart>
      <c:dateAx>
        <c:axId val="1491822088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32840"/>
        <c:crosses val="autoZero"/>
        <c:auto val="1"/>
        <c:lblOffset val="100"/>
        <c:baseTimeUnit val="years"/>
      </c:dateAx>
      <c:valAx>
        <c:axId val="1491832840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solidFill>
            <a:srgbClr val="E49EDD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22088"/>
        <c:crosses val="autoZero"/>
        <c:crossBetween val="between"/>
      </c:valAx>
      <c:valAx>
        <c:axId val="119102260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solidFill>
            <a:srgbClr val="C1F0C8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25672"/>
        <c:crosses val="max"/>
        <c:crossBetween val="between"/>
      </c:valAx>
      <c:dateAx>
        <c:axId val="1191025672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1191022600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from 2014</a:t>
            </a:r>
            <a:r>
              <a:rPr lang="en-US" baseline="0"/>
              <a:t> to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'PE '!$B$1:$L$1</c:f>
              <c:numCache>
                <c:formatCode>yyyy</c:formatCode>
                <c:ptCount val="11"/>
                <c:pt idx="0">
                  <c:v>41791</c:v>
                </c:pt>
                <c:pt idx="1">
                  <c:v>42156</c:v>
                </c:pt>
                <c:pt idx="2">
                  <c:v>42522</c:v>
                </c:pt>
                <c:pt idx="3">
                  <c:v>42887</c:v>
                </c:pt>
                <c:pt idx="4">
                  <c:v>43252</c:v>
                </c:pt>
                <c:pt idx="5">
                  <c:v>43617</c:v>
                </c:pt>
                <c:pt idx="6">
                  <c:v>43983</c:v>
                </c:pt>
                <c:pt idx="7">
                  <c:v>44348</c:v>
                </c:pt>
                <c:pt idx="8">
                  <c:v>44713</c:v>
                </c:pt>
                <c:pt idx="9">
                  <c:v>45078</c:v>
                </c:pt>
                <c:pt idx="10">
                  <c:v>45444</c:v>
                </c:pt>
              </c:numCache>
            </c:numRef>
          </c:cat>
          <c:val>
            <c:numRef>
              <c:f>'PE '!$B$2:$L$2</c:f>
              <c:numCache>
                <c:formatCode>#,##0.00</c:formatCode>
                <c:ptCount val="11"/>
                <c:pt idx="0">
                  <c:v>17.2394</c:v>
                </c:pt>
                <c:pt idx="1">
                  <c:v>13.4133</c:v>
                </c:pt>
                <c:pt idx="2">
                  <c:v>11.832100000000001</c:v>
                </c:pt>
                <c:pt idx="3">
                  <c:v>16.529299999999999</c:v>
                </c:pt>
                <c:pt idx="4">
                  <c:v>22.608599999999999</c:v>
                </c:pt>
                <c:pt idx="5">
                  <c:v>14.3489</c:v>
                </c:pt>
                <c:pt idx="6">
                  <c:v>-3.1040999999999999</c:v>
                </c:pt>
                <c:pt idx="7">
                  <c:v>-8.8355999999999995</c:v>
                </c:pt>
                <c:pt idx="8">
                  <c:v>-10.7913</c:v>
                </c:pt>
                <c:pt idx="9">
                  <c:v>-12.715299999999999</c:v>
                </c:pt>
                <c:pt idx="10">
                  <c:v>21.135300000000001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D7-3F47-9E89-8EC6851B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527807"/>
        <c:axId val="2107605535"/>
      </c:lineChart>
      <c:dateAx>
        <c:axId val="2138527807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07605535"/>
        <c:crosses val="autoZero"/>
        <c:auto val="1"/>
        <c:lblOffset val="100"/>
        <c:baseTimeUnit val="years"/>
      </c:dateAx>
      <c:valAx>
        <c:axId val="21076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1385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Portfolio for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Portfolio'!$H$1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43CE-724A-82C1-51FCACDACB01}"/>
              </c:ext>
            </c:extLst>
          </c:dPt>
          <c:dLbls>
            <c:dLbl>
              <c:idx val="0"/>
              <c:layout>
                <c:manualLayout>
                  <c:x val="-2.8984890402213239E-3"/>
                  <c:y val="-0.187142502709549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CE-724A-82C1-51FCACDACB01}"/>
                </c:ext>
              </c:extLst>
            </c:dLbl>
            <c:dLbl>
              <c:idx val="50"/>
              <c:layout>
                <c:manualLayout>
                  <c:x val="-9.4178058251193179E-3"/>
                  <c:y val="-3.1307577883944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CE-724A-82C1-51FCACDACB01}"/>
                </c:ext>
              </c:extLst>
            </c:dLbl>
            <c:dLbl>
              <c:idx val="106"/>
              <c:layout>
                <c:manualLayout>
                  <c:x val="8.5616438356158101E-4"/>
                  <c:y val="8.8397866966430566E-2"/>
                </c:manualLayout>
              </c:layout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V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CE-724A-82C1-51FCACDACB01}"/>
                </c:ext>
              </c:extLst>
            </c:dLbl>
            <c:dLbl>
              <c:idx val="140"/>
              <c:layout>
                <c:manualLayout>
                  <c:x val="2.5684931506849314E-2"/>
                  <c:y val="-3.4990822340878781E-2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V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CE-724A-82C1-51FCACDACB01}"/>
                </c:ext>
              </c:extLst>
            </c:dLbl>
            <c:dLbl>
              <c:idx val="165"/>
              <c:layout>
                <c:manualLayout>
                  <c:x val="-2.4213075060532689E-3"/>
                  <c:y val="3.3149200112411396E-2"/>
                </c:manualLayout>
              </c:layout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V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CE-724A-82C1-51FCACDACB01}"/>
                </c:ext>
              </c:extLst>
            </c:dLbl>
            <c:dLbl>
              <c:idx val="187"/>
              <c:layout>
                <c:manualLayout>
                  <c:x val="6.4568200161419318E-3"/>
                  <c:y val="-6.0773533539421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CE-724A-82C1-51FCACDACB01}"/>
                </c:ext>
              </c:extLst>
            </c:dLbl>
            <c:dLbl>
              <c:idx val="214"/>
              <c:layout>
                <c:manualLayout>
                  <c:x val="-5.9725585149313962E-2"/>
                  <c:y val="9.2081111423365173E-3"/>
                </c:manualLayout>
              </c:layout>
              <c:spPr>
                <a:solidFill>
                  <a:schemeClr val="accent5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V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CE-724A-82C1-51FCACDACB01}"/>
                </c:ext>
              </c:extLst>
            </c:dLbl>
            <c:dLbl>
              <c:idx val="233"/>
              <c:layout>
                <c:manualLayout>
                  <c:x val="1.5994865048648579E-2"/>
                  <c:y val="-0.101289222565701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CE-724A-82C1-51FCACDACB01}"/>
                </c:ext>
              </c:extLst>
            </c:dLbl>
            <c:dLbl>
              <c:idx val="253"/>
              <c:layout>
                <c:manualLayout>
                  <c:x val="-2.5827280064568199E-2"/>
                  <c:y val="9.760597810876695E-2"/>
                </c:manualLayout>
              </c:layout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V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CE-724A-82C1-51FCACDACB01}"/>
                </c:ext>
              </c:extLst>
            </c:dLbl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'Yearly Portfolio'!$A$2:$A$255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'Yearly Portfolio'!$H$2:$H$255</c:f>
              <c:numCache>
                <c:formatCode>#,##0.00##</c:formatCode>
                <c:ptCount val="254"/>
                <c:pt idx="0">
                  <c:v>1000</c:v>
                </c:pt>
                <c:pt idx="1">
                  <c:v>993.7600000000001</c:v>
                </c:pt>
                <c:pt idx="2">
                  <c:v>979.36000000000013</c:v>
                </c:pt>
                <c:pt idx="3">
                  <c:v>977.44</c:v>
                </c:pt>
                <c:pt idx="4">
                  <c:v>971.68000000000006</c:v>
                </c:pt>
                <c:pt idx="5">
                  <c:v>997.12000000000012</c:v>
                </c:pt>
                <c:pt idx="6">
                  <c:v>1005.28</c:v>
                </c:pt>
                <c:pt idx="7">
                  <c:v>1012</c:v>
                </c:pt>
                <c:pt idx="8">
                  <c:v>999.04000000000008</c:v>
                </c:pt>
                <c:pt idx="9">
                  <c:v>1004.8000000000002</c:v>
                </c:pt>
                <c:pt idx="10">
                  <c:v>1004.8000000000002</c:v>
                </c:pt>
                <c:pt idx="11">
                  <c:v>1002.4000000000001</c:v>
                </c:pt>
                <c:pt idx="12">
                  <c:v>1008.6400000000001</c:v>
                </c:pt>
                <c:pt idx="13">
                  <c:v>1027.8400000000001</c:v>
                </c:pt>
                <c:pt idx="14">
                  <c:v>1033.5999999999999</c:v>
                </c:pt>
                <c:pt idx="15">
                  <c:v>1030.24</c:v>
                </c:pt>
                <c:pt idx="16">
                  <c:v>1028.3200000000002</c:v>
                </c:pt>
                <c:pt idx="17">
                  <c:v>1026.8800000000001</c:v>
                </c:pt>
                <c:pt idx="18">
                  <c:v>1035.04</c:v>
                </c:pt>
                <c:pt idx="19">
                  <c:v>1028.3200000000002</c:v>
                </c:pt>
                <c:pt idx="20">
                  <c:v>1040.3200000000002</c:v>
                </c:pt>
                <c:pt idx="21">
                  <c:v>1040.3200000000002</c:v>
                </c:pt>
                <c:pt idx="22">
                  <c:v>1053.7600000000002</c:v>
                </c:pt>
                <c:pt idx="23">
                  <c:v>1055.2000000000003</c:v>
                </c:pt>
                <c:pt idx="24">
                  <c:v>1063.8400000000001</c:v>
                </c:pt>
                <c:pt idx="25">
                  <c:v>1067.2000000000003</c:v>
                </c:pt>
                <c:pt idx="26">
                  <c:v>1061.44</c:v>
                </c:pt>
                <c:pt idx="27">
                  <c:v>1053.28</c:v>
                </c:pt>
                <c:pt idx="28">
                  <c:v>1049.44</c:v>
                </c:pt>
                <c:pt idx="29">
                  <c:v>1044.1600000000001</c:v>
                </c:pt>
                <c:pt idx="30">
                  <c:v>1044.1600000000001</c:v>
                </c:pt>
                <c:pt idx="31">
                  <c:v>1063.3600000000001</c:v>
                </c:pt>
                <c:pt idx="32">
                  <c:v>1061.44</c:v>
                </c:pt>
                <c:pt idx="33">
                  <c:v>1060</c:v>
                </c:pt>
                <c:pt idx="34">
                  <c:v>1061.44</c:v>
                </c:pt>
                <c:pt idx="35">
                  <c:v>1041.28</c:v>
                </c:pt>
                <c:pt idx="36">
                  <c:v>1052.8000000000002</c:v>
                </c:pt>
                <c:pt idx="37">
                  <c:v>1065.7600000000002</c:v>
                </c:pt>
                <c:pt idx="38">
                  <c:v>1042.72</c:v>
                </c:pt>
                <c:pt idx="39">
                  <c:v>1061.44</c:v>
                </c:pt>
                <c:pt idx="40">
                  <c:v>1021.1200000000001</c:v>
                </c:pt>
                <c:pt idx="41">
                  <c:v>1046.0800000000002</c:v>
                </c:pt>
                <c:pt idx="42">
                  <c:v>1065.7600000000002</c:v>
                </c:pt>
                <c:pt idx="43">
                  <c:v>1030.72</c:v>
                </c:pt>
                <c:pt idx="44">
                  <c:v>1003.8400000000001</c:v>
                </c:pt>
                <c:pt idx="45">
                  <c:v>1016.8000000000002</c:v>
                </c:pt>
                <c:pt idx="46">
                  <c:v>1030.24</c:v>
                </c:pt>
                <c:pt idx="47">
                  <c:v>1054.72</c:v>
                </c:pt>
                <c:pt idx="48">
                  <c:v>1050.8800000000001</c:v>
                </c:pt>
                <c:pt idx="49">
                  <c:v>1061.44</c:v>
                </c:pt>
                <c:pt idx="50">
                  <c:v>1072</c:v>
                </c:pt>
                <c:pt idx="51">
                  <c:v>1058.0800000000002</c:v>
                </c:pt>
                <c:pt idx="52">
                  <c:v>1026.4000000000001</c:v>
                </c:pt>
                <c:pt idx="53">
                  <c:v>1034.0800000000002</c:v>
                </c:pt>
                <c:pt idx="54">
                  <c:v>1027.3600000000001</c:v>
                </c:pt>
                <c:pt idx="55">
                  <c:v>1036.96</c:v>
                </c:pt>
                <c:pt idx="56">
                  <c:v>1041.7600000000002</c:v>
                </c:pt>
                <c:pt idx="57">
                  <c:v>1027.8400000000001</c:v>
                </c:pt>
                <c:pt idx="58">
                  <c:v>1037.92</c:v>
                </c:pt>
                <c:pt idx="59">
                  <c:v>1048.96</c:v>
                </c:pt>
                <c:pt idx="60">
                  <c:v>1047.5200000000002</c:v>
                </c:pt>
                <c:pt idx="61">
                  <c:v>1067.2000000000003</c:v>
                </c:pt>
                <c:pt idx="62">
                  <c:v>1059.5200000000002</c:v>
                </c:pt>
                <c:pt idx="63">
                  <c:v>1032.1600000000001</c:v>
                </c:pt>
                <c:pt idx="64">
                  <c:v>1053.28</c:v>
                </c:pt>
                <c:pt idx="65">
                  <c:v>1033.5999999999999</c:v>
                </c:pt>
                <c:pt idx="66">
                  <c:v>1057.5999999999999</c:v>
                </c:pt>
                <c:pt idx="67">
                  <c:v>1038.8800000000001</c:v>
                </c:pt>
                <c:pt idx="68">
                  <c:v>1047.04</c:v>
                </c:pt>
                <c:pt idx="69">
                  <c:v>1043.68</c:v>
                </c:pt>
                <c:pt idx="70">
                  <c:v>1043.68</c:v>
                </c:pt>
                <c:pt idx="71">
                  <c:v>1037.44</c:v>
                </c:pt>
                <c:pt idx="72">
                  <c:v>1021.1200000000001</c:v>
                </c:pt>
                <c:pt idx="73">
                  <c:v>1029.28</c:v>
                </c:pt>
                <c:pt idx="74">
                  <c:v>1028.3200000000002</c:v>
                </c:pt>
                <c:pt idx="75">
                  <c:v>977.92000000000007</c:v>
                </c:pt>
                <c:pt idx="76">
                  <c:v>991.36000000000013</c:v>
                </c:pt>
                <c:pt idx="77">
                  <c:v>1025.92</c:v>
                </c:pt>
                <c:pt idx="78">
                  <c:v>1014.4000000000001</c:v>
                </c:pt>
                <c:pt idx="79">
                  <c:v>1025.92</c:v>
                </c:pt>
                <c:pt idx="80">
                  <c:v>1035.5200000000002</c:v>
                </c:pt>
                <c:pt idx="81">
                  <c:v>1036.48</c:v>
                </c:pt>
                <c:pt idx="82">
                  <c:v>1020.6400000000001</c:v>
                </c:pt>
                <c:pt idx="83">
                  <c:v>1000.96</c:v>
                </c:pt>
                <c:pt idx="84">
                  <c:v>1002.4000000000001</c:v>
                </c:pt>
                <c:pt idx="85">
                  <c:v>981.28</c:v>
                </c:pt>
                <c:pt idx="86">
                  <c:v>1006.72</c:v>
                </c:pt>
                <c:pt idx="87">
                  <c:v>1028.8000000000002</c:v>
                </c:pt>
                <c:pt idx="88">
                  <c:v>1009.1200000000001</c:v>
                </c:pt>
                <c:pt idx="89">
                  <c:v>998.56000000000017</c:v>
                </c:pt>
                <c:pt idx="90">
                  <c:v>970.72</c:v>
                </c:pt>
                <c:pt idx="91">
                  <c:v>1006.72</c:v>
                </c:pt>
                <c:pt idx="92">
                  <c:v>1008.1600000000001</c:v>
                </c:pt>
                <c:pt idx="93">
                  <c:v>1012</c:v>
                </c:pt>
                <c:pt idx="94">
                  <c:v>997.12000000000012</c:v>
                </c:pt>
                <c:pt idx="95">
                  <c:v>999.52000000000021</c:v>
                </c:pt>
                <c:pt idx="96">
                  <c:v>1009.6</c:v>
                </c:pt>
                <c:pt idx="97">
                  <c:v>994.72</c:v>
                </c:pt>
                <c:pt idx="98">
                  <c:v>978.40000000000009</c:v>
                </c:pt>
                <c:pt idx="99">
                  <c:v>954.88000000000011</c:v>
                </c:pt>
                <c:pt idx="100">
                  <c:v>968.80000000000018</c:v>
                </c:pt>
                <c:pt idx="101">
                  <c:v>949.6</c:v>
                </c:pt>
                <c:pt idx="102">
                  <c:v>929.44</c:v>
                </c:pt>
                <c:pt idx="103">
                  <c:v>935.68000000000006</c:v>
                </c:pt>
                <c:pt idx="104">
                  <c:v>923.20000000000016</c:v>
                </c:pt>
                <c:pt idx="105">
                  <c:v>928.96</c:v>
                </c:pt>
                <c:pt idx="106">
                  <c:v>920.80000000000018</c:v>
                </c:pt>
                <c:pt idx="107">
                  <c:v>938.08000000000015</c:v>
                </c:pt>
                <c:pt idx="108">
                  <c:v>940</c:v>
                </c:pt>
                <c:pt idx="109">
                  <c:v>948.6400000000001</c:v>
                </c:pt>
                <c:pt idx="110">
                  <c:v>955.84000000000015</c:v>
                </c:pt>
                <c:pt idx="111">
                  <c:v>939.52000000000021</c:v>
                </c:pt>
                <c:pt idx="112">
                  <c:v>943.36000000000013</c:v>
                </c:pt>
                <c:pt idx="113">
                  <c:v>957.7600000000001</c:v>
                </c:pt>
                <c:pt idx="114">
                  <c:v>956.32</c:v>
                </c:pt>
                <c:pt idx="115">
                  <c:v>975.52000000000021</c:v>
                </c:pt>
                <c:pt idx="116">
                  <c:v>972.6400000000001</c:v>
                </c:pt>
                <c:pt idx="117">
                  <c:v>970.24</c:v>
                </c:pt>
                <c:pt idx="118">
                  <c:v>968.80000000000018</c:v>
                </c:pt>
                <c:pt idx="119">
                  <c:v>961.6</c:v>
                </c:pt>
                <c:pt idx="120">
                  <c:v>975.52000000000021</c:v>
                </c:pt>
                <c:pt idx="121">
                  <c:v>974.08000000000015</c:v>
                </c:pt>
                <c:pt idx="122">
                  <c:v>980.32</c:v>
                </c:pt>
                <c:pt idx="123">
                  <c:v>987.04000000000008</c:v>
                </c:pt>
                <c:pt idx="124">
                  <c:v>969.7600000000001</c:v>
                </c:pt>
                <c:pt idx="125">
                  <c:v>977.92000000000007</c:v>
                </c:pt>
                <c:pt idx="126">
                  <c:v>1008.6400000000001</c:v>
                </c:pt>
                <c:pt idx="127">
                  <c:v>1026.4000000000001</c:v>
                </c:pt>
                <c:pt idx="128">
                  <c:v>1050.4000000000001</c:v>
                </c:pt>
                <c:pt idx="129">
                  <c:v>1043.68</c:v>
                </c:pt>
                <c:pt idx="130">
                  <c:v>1042.72</c:v>
                </c:pt>
                <c:pt idx="131">
                  <c:v>1045.5999999999999</c:v>
                </c:pt>
                <c:pt idx="132">
                  <c:v>1055.68</c:v>
                </c:pt>
                <c:pt idx="133">
                  <c:v>1072</c:v>
                </c:pt>
                <c:pt idx="134">
                  <c:v>1101.28</c:v>
                </c:pt>
                <c:pt idx="135">
                  <c:v>1076.3200000000002</c:v>
                </c:pt>
                <c:pt idx="136">
                  <c:v>1085.92</c:v>
                </c:pt>
                <c:pt idx="137">
                  <c:v>1083.5200000000002</c:v>
                </c:pt>
                <c:pt idx="138">
                  <c:v>1106.0800000000002</c:v>
                </c:pt>
                <c:pt idx="139">
                  <c:v>1122.4000000000001</c:v>
                </c:pt>
                <c:pt idx="140">
                  <c:v>1122.8800000000001</c:v>
                </c:pt>
                <c:pt idx="141">
                  <c:v>1070.5600000000002</c:v>
                </c:pt>
                <c:pt idx="142">
                  <c:v>1040.8000000000002</c:v>
                </c:pt>
                <c:pt idx="143">
                  <c:v>1045.5999999999999</c:v>
                </c:pt>
                <c:pt idx="144">
                  <c:v>1055.2000000000003</c:v>
                </c:pt>
                <c:pt idx="145">
                  <c:v>1053.28</c:v>
                </c:pt>
                <c:pt idx="146">
                  <c:v>1084.48</c:v>
                </c:pt>
                <c:pt idx="147">
                  <c:v>1066.24</c:v>
                </c:pt>
                <c:pt idx="148">
                  <c:v>1031.68</c:v>
                </c:pt>
                <c:pt idx="149">
                  <c:v>995.20000000000016</c:v>
                </c:pt>
                <c:pt idx="150">
                  <c:v>1000.96</c:v>
                </c:pt>
                <c:pt idx="151">
                  <c:v>994.24</c:v>
                </c:pt>
                <c:pt idx="152">
                  <c:v>995.20000000000016</c:v>
                </c:pt>
                <c:pt idx="153">
                  <c:v>989.92000000000007</c:v>
                </c:pt>
                <c:pt idx="154">
                  <c:v>1004.32</c:v>
                </c:pt>
                <c:pt idx="155">
                  <c:v>989.92000000000007</c:v>
                </c:pt>
                <c:pt idx="156">
                  <c:v>998.08000000000015</c:v>
                </c:pt>
                <c:pt idx="157">
                  <c:v>1001.44</c:v>
                </c:pt>
                <c:pt idx="158">
                  <c:v>997.6</c:v>
                </c:pt>
                <c:pt idx="159">
                  <c:v>990.40000000000009</c:v>
                </c:pt>
                <c:pt idx="160">
                  <c:v>988.48000000000013</c:v>
                </c:pt>
                <c:pt idx="161">
                  <c:v>984.16000000000008</c:v>
                </c:pt>
                <c:pt idx="162">
                  <c:v>959.20000000000016</c:v>
                </c:pt>
                <c:pt idx="163">
                  <c:v>976.96</c:v>
                </c:pt>
                <c:pt idx="164">
                  <c:v>961.6</c:v>
                </c:pt>
                <c:pt idx="165">
                  <c:v>946.24</c:v>
                </c:pt>
                <c:pt idx="166">
                  <c:v>980.80000000000018</c:v>
                </c:pt>
                <c:pt idx="167">
                  <c:v>1000.96</c:v>
                </c:pt>
                <c:pt idx="168">
                  <c:v>1024.96</c:v>
                </c:pt>
                <c:pt idx="169">
                  <c:v>1051.3600000000001</c:v>
                </c:pt>
                <c:pt idx="170">
                  <c:v>1054.72</c:v>
                </c:pt>
                <c:pt idx="171">
                  <c:v>1035.5200000000002</c:v>
                </c:pt>
                <c:pt idx="172">
                  <c:v>1028.8000000000002</c:v>
                </c:pt>
                <c:pt idx="173">
                  <c:v>1017.28</c:v>
                </c:pt>
                <c:pt idx="174">
                  <c:v>1012</c:v>
                </c:pt>
                <c:pt idx="175">
                  <c:v>1010.0800000000002</c:v>
                </c:pt>
                <c:pt idx="176">
                  <c:v>1021.1200000000001</c:v>
                </c:pt>
                <c:pt idx="177">
                  <c:v>1003.8400000000001</c:v>
                </c:pt>
                <c:pt idx="178">
                  <c:v>1010.0800000000002</c:v>
                </c:pt>
                <c:pt idx="179">
                  <c:v>1012</c:v>
                </c:pt>
                <c:pt idx="180">
                  <c:v>1019.2000000000002</c:v>
                </c:pt>
                <c:pt idx="181">
                  <c:v>1014.8800000000001</c:v>
                </c:pt>
                <c:pt idx="182">
                  <c:v>1047.04</c:v>
                </c:pt>
                <c:pt idx="183">
                  <c:v>1070.0800000000002</c:v>
                </c:pt>
                <c:pt idx="184">
                  <c:v>1049.44</c:v>
                </c:pt>
                <c:pt idx="185">
                  <c:v>1068.1600000000001</c:v>
                </c:pt>
                <c:pt idx="186">
                  <c:v>1072</c:v>
                </c:pt>
                <c:pt idx="187">
                  <c:v>1100.3200000000002</c:v>
                </c:pt>
                <c:pt idx="188">
                  <c:v>1096</c:v>
                </c:pt>
                <c:pt idx="189">
                  <c:v>1091.2000000000003</c:v>
                </c:pt>
                <c:pt idx="190">
                  <c:v>1084.48</c:v>
                </c:pt>
                <c:pt idx="191">
                  <c:v>1059.04</c:v>
                </c:pt>
                <c:pt idx="192">
                  <c:v>1055.68</c:v>
                </c:pt>
                <c:pt idx="193">
                  <c:v>1037.92</c:v>
                </c:pt>
                <c:pt idx="194">
                  <c:v>1058.5600000000002</c:v>
                </c:pt>
                <c:pt idx="195">
                  <c:v>1056.1600000000001</c:v>
                </c:pt>
                <c:pt idx="196">
                  <c:v>1070.5600000000002</c:v>
                </c:pt>
                <c:pt idx="197">
                  <c:v>1067.2000000000003</c:v>
                </c:pt>
                <c:pt idx="198">
                  <c:v>1069.1200000000001</c:v>
                </c:pt>
                <c:pt idx="199">
                  <c:v>1050.8800000000001</c:v>
                </c:pt>
                <c:pt idx="200">
                  <c:v>1051.3600000000001</c:v>
                </c:pt>
                <c:pt idx="201">
                  <c:v>1042.24</c:v>
                </c:pt>
                <c:pt idx="202">
                  <c:v>1056.1600000000001</c:v>
                </c:pt>
                <c:pt idx="203">
                  <c:v>844</c:v>
                </c:pt>
                <c:pt idx="204">
                  <c:v>849.28</c:v>
                </c:pt>
                <c:pt idx="205">
                  <c:v>828.16000000000008</c:v>
                </c:pt>
                <c:pt idx="206">
                  <c:v>804.16000000000008</c:v>
                </c:pt>
                <c:pt idx="207">
                  <c:v>779.68000000000006</c:v>
                </c:pt>
                <c:pt idx="208">
                  <c:v>781.12000000000012</c:v>
                </c:pt>
                <c:pt idx="209">
                  <c:v>771.04000000000008</c:v>
                </c:pt>
                <c:pt idx="210">
                  <c:v>770.56000000000006</c:v>
                </c:pt>
                <c:pt idx="211">
                  <c:v>781.60000000000014</c:v>
                </c:pt>
                <c:pt idx="212">
                  <c:v>785.44</c:v>
                </c:pt>
                <c:pt idx="213">
                  <c:v>773.44</c:v>
                </c:pt>
                <c:pt idx="214">
                  <c:v>763.84</c:v>
                </c:pt>
                <c:pt idx="215">
                  <c:v>769.60000000000014</c:v>
                </c:pt>
                <c:pt idx="216">
                  <c:v>776.80000000000018</c:v>
                </c:pt>
                <c:pt idx="217">
                  <c:v>792.16000000000008</c:v>
                </c:pt>
                <c:pt idx="218">
                  <c:v>798.40000000000009</c:v>
                </c:pt>
                <c:pt idx="219">
                  <c:v>800.80000000000018</c:v>
                </c:pt>
                <c:pt idx="220">
                  <c:v>807.04000000000008</c:v>
                </c:pt>
                <c:pt idx="221">
                  <c:v>816.6400000000001</c:v>
                </c:pt>
                <c:pt idx="222">
                  <c:v>853.12000000000012</c:v>
                </c:pt>
                <c:pt idx="223">
                  <c:v>850.24</c:v>
                </c:pt>
                <c:pt idx="224">
                  <c:v>842.08000000000015</c:v>
                </c:pt>
                <c:pt idx="225">
                  <c:v>857.44</c:v>
                </c:pt>
                <c:pt idx="226">
                  <c:v>844.48000000000013</c:v>
                </c:pt>
                <c:pt idx="227">
                  <c:v>833.44</c:v>
                </c:pt>
                <c:pt idx="228">
                  <c:v>834.40000000000009</c:v>
                </c:pt>
                <c:pt idx="229">
                  <c:v>831.04000000000008</c:v>
                </c:pt>
                <c:pt idx="230">
                  <c:v>820</c:v>
                </c:pt>
                <c:pt idx="231">
                  <c:v>840.6400000000001</c:v>
                </c:pt>
                <c:pt idx="232">
                  <c:v>853.12000000000012</c:v>
                </c:pt>
                <c:pt idx="233">
                  <c:v>858.88000000000011</c:v>
                </c:pt>
                <c:pt idx="234">
                  <c:v>850.24</c:v>
                </c:pt>
                <c:pt idx="235">
                  <c:v>837.28</c:v>
                </c:pt>
                <c:pt idx="236">
                  <c:v>834.40000000000009</c:v>
                </c:pt>
                <c:pt idx="237">
                  <c:v>828.16000000000008</c:v>
                </c:pt>
                <c:pt idx="238">
                  <c:v>830.56000000000017</c:v>
                </c:pt>
                <c:pt idx="239">
                  <c:v>819.52000000000021</c:v>
                </c:pt>
                <c:pt idx="240">
                  <c:v>805.6</c:v>
                </c:pt>
                <c:pt idx="241">
                  <c:v>797.44</c:v>
                </c:pt>
                <c:pt idx="242">
                  <c:v>793.6</c:v>
                </c:pt>
                <c:pt idx="243">
                  <c:v>803.68000000000006</c:v>
                </c:pt>
                <c:pt idx="244">
                  <c:v>808.96</c:v>
                </c:pt>
                <c:pt idx="245">
                  <c:v>817.6</c:v>
                </c:pt>
                <c:pt idx="246">
                  <c:v>811.36000000000013</c:v>
                </c:pt>
                <c:pt idx="247">
                  <c:v>800.80000000000018</c:v>
                </c:pt>
                <c:pt idx="248">
                  <c:v>797.92000000000007</c:v>
                </c:pt>
                <c:pt idx="249">
                  <c:v>809.92000000000007</c:v>
                </c:pt>
                <c:pt idx="250">
                  <c:v>808</c:v>
                </c:pt>
                <c:pt idx="251">
                  <c:v>820.96</c:v>
                </c:pt>
                <c:pt idx="252">
                  <c:v>820.48000000000013</c:v>
                </c:pt>
                <c:pt idx="253">
                  <c:v>819.04000000000008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E-724A-82C1-51FCACDA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782224"/>
        <c:axId val="1877707664"/>
      </c:lineChart>
      <c:catAx>
        <c:axId val="187778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77707664"/>
        <c:crosses val="autoZero"/>
        <c:auto val="1"/>
        <c:lblAlgn val="ctr"/>
        <c:lblOffset val="100"/>
        <c:tickLblSkip val="10"/>
        <c:noMultiLvlLbl val="0"/>
      </c:catAx>
      <c:valAx>
        <c:axId val="1877707664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777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profit</a:t>
            </a:r>
            <a:r>
              <a:rPr lang="en-US" baseline="0"/>
              <a:t> for FLT single trade in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single trade for maximum prof'!$B$1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 single trade for maximum prof'!$A$2:$A$255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'A single trade for maximum prof'!$B$2:$B$255</c:f>
              <c:numCache>
                <c:formatCode>#,##0.00##</c:formatCode>
                <c:ptCount val="254"/>
                <c:pt idx="0">
                  <c:v>20.45</c:v>
                </c:pt>
                <c:pt idx="1">
                  <c:v>20.32</c:v>
                </c:pt>
                <c:pt idx="2">
                  <c:v>20.02</c:v>
                </c:pt>
                <c:pt idx="3">
                  <c:v>19.98</c:v>
                </c:pt>
                <c:pt idx="4">
                  <c:v>19.86</c:v>
                </c:pt>
                <c:pt idx="5">
                  <c:v>20.39</c:v>
                </c:pt>
                <c:pt idx="6">
                  <c:v>20.56</c:v>
                </c:pt>
                <c:pt idx="7">
                  <c:v>20.7</c:v>
                </c:pt>
                <c:pt idx="8">
                  <c:v>20.43</c:v>
                </c:pt>
                <c:pt idx="9">
                  <c:v>20.55</c:v>
                </c:pt>
                <c:pt idx="10">
                  <c:v>20.55</c:v>
                </c:pt>
                <c:pt idx="11">
                  <c:v>20.5</c:v>
                </c:pt>
                <c:pt idx="12">
                  <c:v>20.63</c:v>
                </c:pt>
                <c:pt idx="13">
                  <c:v>21.03</c:v>
                </c:pt>
                <c:pt idx="14">
                  <c:v>21.15</c:v>
                </c:pt>
                <c:pt idx="15">
                  <c:v>21.08</c:v>
                </c:pt>
                <c:pt idx="16">
                  <c:v>21.04</c:v>
                </c:pt>
                <c:pt idx="17">
                  <c:v>21.01</c:v>
                </c:pt>
                <c:pt idx="18">
                  <c:v>21.18</c:v>
                </c:pt>
                <c:pt idx="19">
                  <c:v>21.04</c:v>
                </c:pt>
                <c:pt idx="20">
                  <c:v>21.29</c:v>
                </c:pt>
                <c:pt idx="21">
                  <c:v>21.29</c:v>
                </c:pt>
                <c:pt idx="22">
                  <c:v>21.57</c:v>
                </c:pt>
                <c:pt idx="23">
                  <c:v>21.6</c:v>
                </c:pt>
                <c:pt idx="24">
                  <c:v>21.78</c:v>
                </c:pt>
                <c:pt idx="25">
                  <c:v>21.85</c:v>
                </c:pt>
                <c:pt idx="26">
                  <c:v>21.73</c:v>
                </c:pt>
                <c:pt idx="27">
                  <c:v>21.56</c:v>
                </c:pt>
                <c:pt idx="28">
                  <c:v>21.48</c:v>
                </c:pt>
                <c:pt idx="29">
                  <c:v>21.37</c:v>
                </c:pt>
                <c:pt idx="30">
                  <c:v>21.37</c:v>
                </c:pt>
                <c:pt idx="31">
                  <c:v>21.77</c:v>
                </c:pt>
                <c:pt idx="32">
                  <c:v>21.73</c:v>
                </c:pt>
                <c:pt idx="33">
                  <c:v>21.7</c:v>
                </c:pt>
                <c:pt idx="34">
                  <c:v>21.73</c:v>
                </c:pt>
                <c:pt idx="35">
                  <c:v>21.31</c:v>
                </c:pt>
                <c:pt idx="36">
                  <c:v>21.55</c:v>
                </c:pt>
                <c:pt idx="37">
                  <c:v>21.82</c:v>
                </c:pt>
                <c:pt idx="38">
                  <c:v>21.34</c:v>
                </c:pt>
                <c:pt idx="39">
                  <c:v>21.73</c:v>
                </c:pt>
                <c:pt idx="40">
                  <c:v>20.89</c:v>
                </c:pt>
                <c:pt idx="41">
                  <c:v>21.41</c:v>
                </c:pt>
                <c:pt idx="42">
                  <c:v>21.82</c:v>
                </c:pt>
                <c:pt idx="43">
                  <c:v>21.09</c:v>
                </c:pt>
                <c:pt idx="44">
                  <c:v>20.53</c:v>
                </c:pt>
                <c:pt idx="45">
                  <c:v>20.8</c:v>
                </c:pt>
                <c:pt idx="46">
                  <c:v>21.08</c:v>
                </c:pt>
                <c:pt idx="47">
                  <c:v>21.59</c:v>
                </c:pt>
                <c:pt idx="48">
                  <c:v>21.51</c:v>
                </c:pt>
                <c:pt idx="49">
                  <c:v>21.73</c:v>
                </c:pt>
                <c:pt idx="50">
                  <c:v>21.95</c:v>
                </c:pt>
                <c:pt idx="51">
                  <c:v>21.66</c:v>
                </c:pt>
                <c:pt idx="52">
                  <c:v>21</c:v>
                </c:pt>
                <c:pt idx="53">
                  <c:v>21.16</c:v>
                </c:pt>
                <c:pt idx="54">
                  <c:v>21.02</c:v>
                </c:pt>
                <c:pt idx="55">
                  <c:v>21.22</c:v>
                </c:pt>
                <c:pt idx="56">
                  <c:v>21.32</c:v>
                </c:pt>
                <c:pt idx="57">
                  <c:v>21.03</c:v>
                </c:pt>
                <c:pt idx="58">
                  <c:v>21.24</c:v>
                </c:pt>
                <c:pt idx="59">
                  <c:v>21.47</c:v>
                </c:pt>
                <c:pt idx="60">
                  <c:v>21.44</c:v>
                </c:pt>
                <c:pt idx="61">
                  <c:v>21.85</c:v>
                </c:pt>
                <c:pt idx="62">
                  <c:v>21.69</c:v>
                </c:pt>
                <c:pt idx="63">
                  <c:v>21.12</c:v>
                </c:pt>
                <c:pt idx="64">
                  <c:v>21.56</c:v>
                </c:pt>
                <c:pt idx="65">
                  <c:v>21.15</c:v>
                </c:pt>
                <c:pt idx="66">
                  <c:v>21.65</c:v>
                </c:pt>
                <c:pt idx="67">
                  <c:v>21.26</c:v>
                </c:pt>
                <c:pt idx="68">
                  <c:v>21.43</c:v>
                </c:pt>
                <c:pt idx="69">
                  <c:v>21.36</c:v>
                </c:pt>
                <c:pt idx="70">
                  <c:v>21.36</c:v>
                </c:pt>
                <c:pt idx="71">
                  <c:v>21.23</c:v>
                </c:pt>
                <c:pt idx="72">
                  <c:v>20.89</c:v>
                </c:pt>
                <c:pt idx="73">
                  <c:v>21.06</c:v>
                </c:pt>
                <c:pt idx="74">
                  <c:v>21.04</c:v>
                </c:pt>
                <c:pt idx="75">
                  <c:v>19.989999999999998</c:v>
                </c:pt>
                <c:pt idx="76">
                  <c:v>20.27</c:v>
                </c:pt>
                <c:pt idx="77">
                  <c:v>20.99</c:v>
                </c:pt>
                <c:pt idx="78">
                  <c:v>20.75</c:v>
                </c:pt>
                <c:pt idx="79">
                  <c:v>20.99</c:v>
                </c:pt>
                <c:pt idx="80">
                  <c:v>21.19</c:v>
                </c:pt>
                <c:pt idx="81">
                  <c:v>21.21</c:v>
                </c:pt>
                <c:pt idx="82">
                  <c:v>20.88</c:v>
                </c:pt>
                <c:pt idx="83">
                  <c:v>20.47</c:v>
                </c:pt>
                <c:pt idx="84">
                  <c:v>20.5</c:v>
                </c:pt>
                <c:pt idx="85">
                  <c:v>20.059999999999999</c:v>
                </c:pt>
                <c:pt idx="86">
                  <c:v>20.59</c:v>
                </c:pt>
                <c:pt idx="87">
                  <c:v>21.05</c:v>
                </c:pt>
                <c:pt idx="88">
                  <c:v>20.64</c:v>
                </c:pt>
                <c:pt idx="89">
                  <c:v>20.420000000000002</c:v>
                </c:pt>
                <c:pt idx="90">
                  <c:v>19.84</c:v>
                </c:pt>
                <c:pt idx="91">
                  <c:v>20.59</c:v>
                </c:pt>
                <c:pt idx="92">
                  <c:v>20.62</c:v>
                </c:pt>
                <c:pt idx="93">
                  <c:v>20.7</c:v>
                </c:pt>
                <c:pt idx="94">
                  <c:v>20.39</c:v>
                </c:pt>
                <c:pt idx="95">
                  <c:v>20.440000000000001</c:v>
                </c:pt>
                <c:pt idx="96">
                  <c:v>20.65</c:v>
                </c:pt>
                <c:pt idx="97">
                  <c:v>20.34</c:v>
                </c:pt>
                <c:pt idx="98">
                  <c:v>20</c:v>
                </c:pt>
                <c:pt idx="99">
                  <c:v>19.510000000000002</c:v>
                </c:pt>
                <c:pt idx="100">
                  <c:v>19.8</c:v>
                </c:pt>
                <c:pt idx="101">
                  <c:v>19.399999999999999</c:v>
                </c:pt>
                <c:pt idx="102">
                  <c:v>18.98</c:v>
                </c:pt>
                <c:pt idx="103">
                  <c:v>19.11</c:v>
                </c:pt>
                <c:pt idx="104">
                  <c:v>18.850000000000001</c:v>
                </c:pt>
                <c:pt idx="105">
                  <c:v>18.97</c:v>
                </c:pt>
                <c:pt idx="106">
                  <c:v>18.8</c:v>
                </c:pt>
                <c:pt idx="107">
                  <c:v>19.16</c:v>
                </c:pt>
                <c:pt idx="108">
                  <c:v>19.2</c:v>
                </c:pt>
                <c:pt idx="109">
                  <c:v>19.38</c:v>
                </c:pt>
                <c:pt idx="110">
                  <c:v>19.53</c:v>
                </c:pt>
                <c:pt idx="111">
                  <c:v>19.190000000000001</c:v>
                </c:pt>
                <c:pt idx="112">
                  <c:v>19.27</c:v>
                </c:pt>
                <c:pt idx="113">
                  <c:v>19.57</c:v>
                </c:pt>
                <c:pt idx="114">
                  <c:v>19.54</c:v>
                </c:pt>
                <c:pt idx="115">
                  <c:v>19.940000000000001</c:v>
                </c:pt>
                <c:pt idx="116">
                  <c:v>19.88</c:v>
                </c:pt>
                <c:pt idx="117">
                  <c:v>19.829999999999998</c:v>
                </c:pt>
                <c:pt idx="118">
                  <c:v>19.8</c:v>
                </c:pt>
                <c:pt idx="119">
                  <c:v>19.649999999999999</c:v>
                </c:pt>
                <c:pt idx="120">
                  <c:v>19.940000000000001</c:v>
                </c:pt>
                <c:pt idx="121">
                  <c:v>19.91</c:v>
                </c:pt>
                <c:pt idx="122">
                  <c:v>20.04</c:v>
                </c:pt>
                <c:pt idx="123">
                  <c:v>20.18</c:v>
                </c:pt>
                <c:pt idx="124">
                  <c:v>19.82</c:v>
                </c:pt>
                <c:pt idx="125">
                  <c:v>19.989999999999998</c:v>
                </c:pt>
                <c:pt idx="126">
                  <c:v>20.63</c:v>
                </c:pt>
                <c:pt idx="127">
                  <c:v>21</c:v>
                </c:pt>
                <c:pt idx="128">
                  <c:v>21.5</c:v>
                </c:pt>
                <c:pt idx="129">
                  <c:v>21.36</c:v>
                </c:pt>
                <c:pt idx="130">
                  <c:v>21.34</c:v>
                </c:pt>
                <c:pt idx="131">
                  <c:v>21.4</c:v>
                </c:pt>
                <c:pt idx="132">
                  <c:v>21.61</c:v>
                </c:pt>
                <c:pt idx="133">
                  <c:v>21.95</c:v>
                </c:pt>
                <c:pt idx="134">
                  <c:v>22.56</c:v>
                </c:pt>
                <c:pt idx="135">
                  <c:v>22.04</c:v>
                </c:pt>
                <c:pt idx="136">
                  <c:v>22.24</c:v>
                </c:pt>
                <c:pt idx="137">
                  <c:v>22.19</c:v>
                </c:pt>
                <c:pt idx="138">
                  <c:v>22.66</c:v>
                </c:pt>
                <c:pt idx="139">
                  <c:v>23</c:v>
                </c:pt>
                <c:pt idx="140">
                  <c:v>23.01</c:v>
                </c:pt>
                <c:pt idx="141">
                  <c:v>21.92</c:v>
                </c:pt>
                <c:pt idx="142">
                  <c:v>21.3</c:v>
                </c:pt>
                <c:pt idx="143">
                  <c:v>21.4</c:v>
                </c:pt>
                <c:pt idx="144">
                  <c:v>21.6</c:v>
                </c:pt>
                <c:pt idx="145">
                  <c:v>21.56</c:v>
                </c:pt>
                <c:pt idx="146">
                  <c:v>22.21</c:v>
                </c:pt>
                <c:pt idx="147">
                  <c:v>21.83</c:v>
                </c:pt>
                <c:pt idx="148">
                  <c:v>21.11</c:v>
                </c:pt>
                <c:pt idx="149">
                  <c:v>20.350000000000001</c:v>
                </c:pt>
                <c:pt idx="150">
                  <c:v>20.47</c:v>
                </c:pt>
                <c:pt idx="151">
                  <c:v>20.329999999999998</c:v>
                </c:pt>
                <c:pt idx="152">
                  <c:v>20.350000000000001</c:v>
                </c:pt>
                <c:pt idx="153">
                  <c:v>20.239999999999998</c:v>
                </c:pt>
                <c:pt idx="154">
                  <c:v>20.54</c:v>
                </c:pt>
                <c:pt idx="155">
                  <c:v>20.239999999999998</c:v>
                </c:pt>
                <c:pt idx="156">
                  <c:v>20.41</c:v>
                </c:pt>
                <c:pt idx="157">
                  <c:v>20.48</c:v>
                </c:pt>
                <c:pt idx="158">
                  <c:v>20.399999999999999</c:v>
                </c:pt>
                <c:pt idx="159">
                  <c:v>20.25</c:v>
                </c:pt>
                <c:pt idx="160">
                  <c:v>20.21</c:v>
                </c:pt>
                <c:pt idx="161">
                  <c:v>20.12</c:v>
                </c:pt>
                <c:pt idx="162">
                  <c:v>19.600000000000001</c:v>
                </c:pt>
                <c:pt idx="163">
                  <c:v>19.97</c:v>
                </c:pt>
                <c:pt idx="164">
                  <c:v>19.649999999999999</c:v>
                </c:pt>
                <c:pt idx="165">
                  <c:v>19.329999999999998</c:v>
                </c:pt>
                <c:pt idx="166">
                  <c:v>20.05</c:v>
                </c:pt>
                <c:pt idx="167">
                  <c:v>20.47</c:v>
                </c:pt>
                <c:pt idx="168">
                  <c:v>20.97</c:v>
                </c:pt>
                <c:pt idx="169">
                  <c:v>21.52</c:v>
                </c:pt>
                <c:pt idx="170">
                  <c:v>21.59</c:v>
                </c:pt>
                <c:pt idx="171">
                  <c:v>21.19</c:v>
                </c:pt>
                <c:pt idx="172">
                  <c:v>21.05</c:v>
                </c:pt>
                <c:pt idx="173">
                  <c:v>20.81</c:v>
                </c:pt>
                <c:pt idx="174">
                  <c:v>20.7</c:v>
                </c:pt>
                <c:pt idx="175">
                  <c:v>20.66</c:v>
                </c:pt>
                <c:pt idx="176">
                  <c:v>20.89</c:v>
                </c:pt>
                <c:pt idx="177">
                  <c:v>20.53</c:v>
                </c:pt>
                <c:pt idx="178">
                  <c:v>20.66</c:v>
                </c:pt>
                <c:pt idx="179">
                  <c:v>20.7</c:v>
                </c:pt>
                <c:pt idx="180">
                  <c:v>20.85</c:v>
                </c:pt>
                <c:pt idx="181">
                  <c:v>20.76</c:v>
                </c:pt>
                <c:pt idx="182">
                  <c:v>21.43</c:v>
                </c:pt>
                <c:pt idx="183">
                  <c:v>21.91</c:v>
                </c:pt>
                <c:pt idx="184">
                  <c:v>21.48</c:v>
                </c:pt>
                <c:pt idx="185">
                  <c:v>21.87</c:v>
                </c:pt>
                <c:pt idx="186">
                  <c:v>21.95</c:v>
                </c:pt>
                <c:pt idx="187">
                  <c:v>22.54</c:v>
                </c:pt>
                <c:pt idx="188">
                  <c:v>22.45</c:v>
                </c:pt>
                <c:pt idx="189">
                  <c:v>22.35</c:v>
                </c:pt>
                <c:pt idx="190">
                  <c:v>22.21</c:v>
                </c:pt>
                <c:pt idx="191">
                  <c:v>21.68</c:v>
                </c:pt>
                <c:pt idx="192">
                  <c:v>21.61</c:v>
                </c:pt>
                <c:pt idx="193">
                  <c:v>21.24</c:v>
                </c:pt>
                <c:pt idx="194">
                  <c:v>21.67</c:v>
                </c:pt>
                <c:pt idx="195">
                  <c:v>21.62</c:v>
                </c:pt>
                <c:pt idx="196">
                  <c:v>21.92</c:v>
                </c:pt>
                <c:pt idx="197">
                  <c:v>21.85</c:v>
                </c:pt>
                <c:pt idx="198">
                  <c:v>21.89</c:v>
                </c:pt>
                <c:pt idx="199">
                  <c:v>21.51</c:v>
                </c:pt>
                <c:pt idx="200">
                  <c:v>21.52</c:v>
                </c:pt>
                <c:pt idx="201">
                  <c:v>21.33</c:v>
                </c:pt>
                <c:pt idx="202">
                  <c:v>21.62</c:v>
                </c:pt>
                <c:pt idx="203">
                  <c:v>17.2</c:v>
                </c:pt>
                <c:pt idx="204">
                  <c:v>17.309999999999999</c:v>
                </c:pt>
                <c:pt idx="205">
                  <c:v>16.87</c:v>
                </c:pt>
                <c:pt idx="206">
                  <c:v>16.37</c:v>
                </c:pt>
                <c:pt idx="207">
                  <c:v>15.86</c:v>
                </c:pt>
                <c:pt idx="208">
                  <c:v>15.89</c:v>
                </c:pt>
                <c:pt idx="209">
                  <c:v>15.68</c:v>
                </c:pt>
                <c:pt idx="210">
                  <c:v>15.67</c:v>
                </c:pt>
                <c:pt idx="211">
                  <c:v>15.9</c:v>
                </c:pt>
                <c:pt idx="212">
                  <c:v>15.98</c:v>
                </c:pt>
                <c:pt idx="213">
                  <c:v>15.73</c:v>
                </c:pt>
                <c:pt idx="214">
                  <c:v>15.53</c:v>
                </c:pt>
                <c:pt idx="215">
                  <c:v>15.65</c:v>
                </c:pt>
                <c:pt idx="216">
                  <c:v>15.8</c:v>
                </c:pt>
                <c:pt idx="217">
                  <c:v>16.12</c:v>
                </c:pt>
                <c:pt idx="218">
                  <c:v>16.25</c:v>
                </c:pt>
                <c:pt idx="219">
                  <c:v>16.3</c:v>
                </c:pt>
                <c:pt idx="220">
                  <c:v>16.43</c:v>
                </c:pt>
                <c:pt idx="221">
                  <c:v>16.63</c:v>
                </c:pt>
                <c:pt idx="222">
                  <c:v>17.39</c:v>
                </c:pt>
                <c:pt idx="223">
                  <c:v>17.329999999999998</c:v>
                </c:pt>
                <c:pt idx="224">
                  <c:v>17.16</c:v>
                </c:pt>
                <c:pt idx="225">
                  <c:v>17.48</c:v>
                </c:pt>
                <c:pt idx="226">
                  <c:v>17.21</c:v>
                </c:pt>
                <c:pt idx="227">
                  <c:v>16.98</c:v>
                </c:pt>
                <c:pt idx="228">
                  <c:v>17</c:v>
                </c:pt>
                <c:pt idx="229">
                  <c:v>16.93</c:v>
                </c:pt>
                <c:pt idx="230">
                  <c:v>16.7</c:v>
                </c:pt>
                <c:pt idx="231">
                  <c:v>17.13</c:v>
                </c:pt>
                <c:pt idx="232">
                  <c:v>17.39</c:v>
                </c:pt>
                <c:pt idx="233">
                  <c:v>17.510000000000002</c:v>
                </c:pt>
                <c:pt idx="234">
                  <c:v>17.329999999999998</c:v>
                </c:pt>
                <c:pt idx="235">
                  <c:v>17.059999999999999</c:v>
                </c:pt>
                <c:pt idx="236">
                  <c:v>17</c:v>
                </c:pt>
                <c:pt idx="237">
                  <c:v>16.87</c:v>
                </c:pt>
                <c:pt idx="238">
                  <c:v>16.920000000000002</c:v>
                </c:pt>
                <c:pt idx="239">
                  <c:v>16.690000000000001</c:v>
                </c:pt>
                <c:pt idx="240">
                  <c:v>16.399999999999999</c:v>
                </c:pt>
                <c:pt idx="241">
                  <c:v>16.23</c:v>
                </c:pt>
                <c:pt idx="242">
                  <c:v>16.149999999999999</c:v>
                </c:pt>
                <c:pt idx="243">
                  <c:v>16.36</c:v>
                </c:pt>
                <c:pt idx="244">
                  <c:v>16.47</c:v>
                </c:pt>
                <c:pt idx="245">
                  <c:v>16.649999999999999</c:v>
                </c:pt>
                <c:pt idx="246">
                  <c:v>16.52</c:v>
                </c:pt>
                <c:pt idx="247">
                  <c:v>16.3</c:v>
                </c:pt>
                <c:pt idx="248">
                  <c:v>16.239999999999998</c:v>
                </c:pt>
                <c:pt idx="249">
                  <c:v>16.489999999999998</c:v>
                </c:pt>
                <c:pt idx="250">
                  <c:v>16.45</c:v>
                </c:pt>
                <c:pt idx="251">
                  <c:v>16.72</c:v>
                </c:pt>
                <c:pt idx="252">
                  <c:v>16.71</c:v>
                </c:pt>
                <c:pt idx="253">
                  <c:v>16.68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4-AF46-A6B5-E018BF19E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312656"/>
        <c:axId val="1948314368"/>
      </c:lineChart>
      <c:catAx>
        <c:axId val="19483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48314368"/>
        <c:crosses val="autoZero"/>
        <c:auto val="1"/>
        <c:lblAlgn val="ctr"/>
        <c:lblOffset val="100"/>
        <c:tickLblSkip val="10"/>
        <c:noMultiLvlLbl val="0"/>
      </c:catAx>
      <c:valAx>
        <c:axId val="194831436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4831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FLT 2024 one trade maximum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'A single trade for maximum prof'!$E$1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C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 single trade for maximum prof'!$D$2,'A single trade for maximum prof'!$D$3)</c:f>
              <c:strCache>
                <c:ptCount val="2"/>
                <c:pt idx="0">
                  <c:v>04/06/2024</c:v>
                </c:pt>
                <c:pt idx="1">
                  <c:v>23/07/2024</c:v>
                </c:pt>
              </c:strCache>
            </c:strRef>
          </c:cat>
          <c:val>
            <c:numRef>
              <c:f>'A single trade for maximum prof'!$E$2:$E$3</c:f>
              <c:numCache>
                <c:formatCode>[$$-C09]#,##0.00</c:formatCode>
                <c:ptCount val="2"/>
                <c:pt idx="0">
                  <c:v>18.8</c:v>
                </c:pt>
                <c:pt idx="1">
                  <c:v>23.01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5-401A-8AAF-1C1671E8A33E}"/>
            </c:ext>
          </c:extLst>
        </c:ser>
        <c:ser>
          <c:idx val="1"/>
          <c:order val="2"/>
          <c:tx>
            <c:strRef>
              <c:f>'A single trade for maximum prof'!$F$1</c:f>
              <c:strCache>
                <c:ptCount val="1"/>
                <c:pt idx="0">
                  <c:v>Invest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[$$-C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 single trade for maximum prof'!$D$2,'A single trade for maximum prof'!$D$3)</c:f>
              <c:strCache>
                <c:ptCount val="2"/>
                <c:pt idx="0">
                  <c:v>04/06/2024</c:v>
                </c:pt>
                <c:pt idx="1">
                  <c:v>23/07/2024</c:v>
                </c:pt>
              </c:strCache>
            </c:strRef>
          </c:cat>
          <c:val>
            <c:numRef>
              <c:f>'A single trade for maximum prof'!$F$2:$F$3</c:f>
              <c:numCache>
                <c:formatCode>[$$-C09]#,##0.00</c:formatCode>
                <c:ptCount val="2"/>
                <c:pt idx="0">
                  <c:v>996.40000000000009</c:v>
                </c:pt>
                <c:pt idx="1">
                  <c:v>1219.53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B-4C59-8473-7AEEDB47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7049992"/>
        <c:axId val="1866860040"/>
      </c:barChart>
      <c:lineChart>
        <c:grouping val="standard"/>
        <c:varyColors val="0"/>
        <c:ser>
          <c:idx val="2"/>
          <c:order val="0"/>
          <c:tx>
            <c:strRef>
              <c:f>'A single trade for maximum prof'!$G$1</c:f>
              <c:strCache>
                <c:ptCount val="1"/>
                <c:pt idx="0">
                  <c:v>Profit (%)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777777777777776E-2"/>
                  <c:y val="-6.2827225130890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73-7944-B460-F7DDAFC312CB}"/>
                </c:ext>
              </c:extLst>
            </c:dLbl>
            <c:dLbl>
              <c:idx val="1"/>
              <c:layout>
                <c:manualLayout>
                  <c:x val="-4.3859649122807015E-3"/>
                  <c:y val="-8.3769633507853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73-7944-B460-F7DDAFC312CB}"/>
                </c:ext>
              </c:extLst>
            </c:dLbl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 single trade for maximum prof'!$D$2,'A single trade for maximum prof'!$D$3)</c:f>
              <c:strCache>
                <c:ptCount val="2"/>
                <c:pt idx="0">
                  <c:v>04/06/2024</c:v>
                </c:pt>
                <c:pt idx="1">
                  <c:v>23/07/2024</c:v>
                </c:pt>
              </c:strCache>
            </c:strRef>
          </c:cat>
          <c:val>
            <c:numRef>
              <c:f>'A single trade for maximum prof'!$G$2:$G$3</c:f>
              <c:numCache>
                <c:formatCode>0.00%</c:formatCode>
                <c:ptCount val="2"/>
                <c:pt idx="0">
                  <c:v>1</c:v>
                </c:pt>
                <c:pt idx="1">
                  <c:v>1.2239361702127658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F-4AFB-AA17-C297326D1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122568"/>
        <c:axId val="1869119496"/>
      </c:lineChart>
      <c:catAx>
        <c:axId val="186704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60040"/>
        <c:crosses val="autoZero"/>
        <c:auto val="1"/>
        <c:lblAlgn val="ctr"/>
        <c:lblOffset val="100"/>
        <c:noMultiLvlLbl val="0"/>
      </c:catAx>
      <c:valAx>
        <c:axId val="186686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49992"/>
        <c:crosses val="autoZero"/>
        <c:crossBetween val="between"/>
      </c:valAx>
      <c:valAx>
        <c:axId val="1869119496"/>
        <c:scaling>
          <c:orientation val="minMax"/>
          <c:max val="1.4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22568"/>
        <c:crosses val="max"/>
        <c:crossBetween val="between"/>
      </c:valAx>
      <c:catAx>
        <c:axId val="1869122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9119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stock trades</a:t>
            </a:r>
            <a:r>
              <a:rPr lang="en-US" baseline="0"/>
              <a:t> for maximum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1.0910408496663998E-2"/>
                  <c:y val="3.50071901503209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On </a:t>
                    </a:r>
                    <a:fld id="{80D0E6AD-AAFA-504E-AEA4-9FBA4C84BB32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; buy 50x at </a:t>
                    </a:r>
                    <a:fld id="{63BF5085-1C31-8E48-B13F-09EE97FE265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0DF-634B-B193-1FB37475DE42}"/>
                </c:ext>
              </c:extLst>
            </c:dLbl>
            <c:dLbl>
              <c:idx val="50"/>
              <c:layout>
                <c:manualLayout>
                  <c:x val="5.0355731523064606E-3"/>
                  <c:y val="-2.69286078079392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/>
                      <a:t>On </a:t>
                    </a:r>
                    <a:fld id="{82BAA468-B3E3-3E40-BA57-7CF3A544905B}" type="CATEGORYNAME">
                      <a:rPr lang="en-US" sz="1400"/>
                      <a:pPr>
                        <a:defRPr sz="1400"/>
                      </a:pPr>
                      <a:t>[CATEGORY NAME]</a:t>
                    </a:fld>
                    <a:r>
                      <a:rPr lang="en-US" sz="1400" baseline="0"/>
                      <a:t>; sell 50x at </a:t>
                    </a:r>
                    <a:fld id="{CDEA5DB5-78B5-004A-994B-586592D0E0FE}" type="VALUE">
                      <a:rPr lang="en-US" sz="1400" baseline="0"/>
                      <a:pPr>
                        <a:defRPr sz="1400"/>
                      </a:pPr>
                      <a:t>[VALUE]</a:t>
                    </a:fld>
                    <a:endParaRPr lang="en-US" sz="1400" baseline="0"/>
                  </a:p>
                </c:rich>
              </c:tx>
              <c:spPr>
                <a:solidFill>
                  <a:srgbClr val="FF7A7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0DF-634B-B193-1FB37475DE42}"/>
                </c:ext>
              </c:extLst>
            </c:dLbl>
            <c:dLbl>
              <c:idx val="106"/>
              <c:layout>
                <c:manualLayout>
                  <c:x val="-4.2802371794604915E-2"/>
                  <c:y val="5.11643548350845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On </a:t>
                    </a:r>
                    <a:fld id="{7E85F30E-23D4-CC4E-93EC-44F6A24E6C2E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; buy 58x at </a:t>
                    </a:r>
                    <a:fld id="{E789E03E-7D67-FE4B-BC2F-6491B87EF50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0DF-634B-B193-1FB37475DE42}"/>
                </c:ext>
              </c:extLst>
            </c:dLbl>
            <c:dLbl>
              <c:idx val="140"/>
              <c:layout>
                <c:manualLayout>
                  <c:x val="8.3926219205095371E-4"/>
                  <c:y val="-2.82750381983361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/>
                      <a:t>On </a:t>
                    </a:r>
                    <a:fld id="{3647D6D6-5775-6540-83EF-A6B09DC72CF9}" type="CATEGORYNAME">
                      <a:rPr lang="en-US" sz="1400"/>
                      <a:pPr>
                        <a:defRPr sz="1400"/>
                      </a:pPr>
                      <a:t>[CATEGORY NAME]</a:t>
                    </a:fld>
                    <a:r>
                      <a:rPr lang="en-US" sz="1400" baseline="0"/>
                      <a:t>; sell 58x at </a:t>
                    </a:r>
                    <a:fld id="{E21F77D0-52FC-3545-A4EE-19B65FF5874C}" type="VALUE">
                      <a:rPr lang="en-US" sz="1400" baseline="0"/>
                      <a:pPr>
                        <a:defRPr sz="1400"/>
                      </a:pPr>
                      <a:t>[VALUE]</a:t>
                    </a:fld>
                    <a:endParaRPr lang="en-US" sz="1400" baseline="0"/>
                  </a:p>
                </c:rich>
              </c:tx>
              <c:spPr>
                <a:solidFill>
                  <a:srgbClr val="FF7A7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0DF-634B-B193-1FB37475DE42}"/>
                </c:ext>
              </c:extLst>
            </c:dLbl>
            <c:dLbl>
              <c:idx val="165"/>
              <c:layout>
                <c:manualLayout>
                  <c:x val="-3.1052701105889844E-2"/>
                  <c:y val="4.57786332734966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On </a:t>
                    </a:r>
                    <a:fld id="{38669C70-961C-BD44-A3D4-019641F91FC5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; buy 69x at </a:t>
                    </a:r>
                    <a:fld id="{C4E56E72-81FA-B54F-A087-4ABF66AEF94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0DF-634B-B193-1FB37475DE42}"/>
                </c:ext>
              </c:extLst>
            </c:dLbl>
            <c:dLbl>
              <c:idx val="187"/>
              <c:layout>
                <c:manualLayout>
                  <c:x val="1.6785243841021538E-3"/>
                  <c:y val="-2.69286078079392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/>
                      <a:t>On </a:t>
                    </a:r>
                    <a:fld id="{8DCD065F-FFAC-374E-82D1-51ECF81888D4}" type="CATEGORYNAME">
                      <a:rPr lang="en-US" sz="1400"/>
                      <a:pPr>
                        <a:defRPr sz="1400"/>
                      </a:pPr>
                      <a:t>[CATEGORY NAME]</a:t>
                    </a:fld>
                    <a:r>
                      <a:rPr lang="en-US" sz="1400" baseline="0"/>
                      <a:t>; sell 69x at </a:t>
                    </a:r>
                    <a:fld id="{B58510D7-F4EE-824A-A865-1691287C864A}" type="VALUE">
                      <a:rPr lang="en-US" sz="1400" baseline="0"/>
                      <a:pPr>
                        <a:defRPr sz="1400"/>
                      </a:pPr>
                      <a:t>[VALUE]</a:t>
                    </a:fld>
                    <a:endParaRPr lang="en-US" sz="1400" baseline="0"/>
                  </a:p>
                </c:rich>
              </c:tx>
              <c:spPr>
                <a:solidFill>
                  <a:srgbClr val="FF7A7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0DF-634B-B193-1FB37475DE42}"/>
                </c:ext>
              </c:extLst>
            </c:dLbl>
            <c:dLbl>
              <c:idx val="214"/>
              <c:layout>
                <c:manualLayout>
                  <c:x val="-0.17792358471482841"/>
                  <c:y val="9.425012732778731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On </a:t>
                    </a:r>
                    <a:fld id="{A25B7E79-B778-6043-8A76-674AFF07D154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; buy 101x at </a:t>
                    </a:r>
                    <a:fld id="{20D3B652-A55D-1747-93DA-785F5A0264E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0DF-634B-B193-1FB37475DE42}"/>
                </c:ext>
              </c:extLst>
            </c:dLbl>
            <c:dLbl>
              <c:idx val="233"/>
              <c:layout>
                <c:manualLayout>
                  <c:x val="-1.1749670688715198E-2"/>
                  <c:y val="-3.770005093111502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/>
                      <a:t>On </a:t>
                    </a:r>
                    <a:fld id="{C12B9326-EF53-DE45-9E69-3D5BA29A0CF6}" type="CATEGORYNAME">
                      <a:rPr lang="en-US" sz="1400"/>
                      <a:pPr>
                        <a:defRPr sz="1400"/>
                      </a:pPr>
                      <a:t>[CATEGORY NAME]</a:t>
                    </a:fld>
                    <a:r>
                      <a:rPr lang="en-US" sz="1400" baseline="0"/>
                      <a:t>; sell 101x at </a:t>
                    </a:r>
                    <a:fld id="{31ED2430-A014-5843-B83A-574D0BB6A6E3}" type="VALUE">
                      <a:rPr lang="en-US" sz="1400" baseline="0"/>
                      <a:pPr>
                        <a:defRPr sz="1400"/>
                      </a:pPr>
                      <a:t>[VALUE]</a:t>
                    </a:fld>
                    <a:endParaRPr lang="en-US" sz="1400" baseline="0"/>
                  </a:p>
                </c:rich>
              </c:tx>
              <c:spPr>
                <a:solidFill>
                  <a:srgbClr val="FF7A7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A0DF-634B-B193-1FB37475DE42}"/>
                </c:ext>
              </c:extLst>
            </c:dLbl>
            <c:spPr>
              <a:solidFill>
                <a:srgbClr val="92D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400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'Multiple trades for maximum pro'!$A$2:$A$255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'Multiple trades for maximum pro'!$B$2:$B$255</c:f>
              <c:numCache>
                <c:formatCode>#,##0.00##</c:formatCode>
                <c:ptCount val="254"/>
                <c:pt idx="0">
                  <c:v>20.45</c:v>
                </c:pt>
                <c:pt idx="1">
                  <c:v>20.32</c:v>
                </c:pt>
                <c:pt idx="2">
                  <c:v>20.02</c:v>
                </c:pt>
                <c:pt idx="3">
                  <c:v>19.98</c:v>
                </c:pt>
                <c:pt idx="4">
                  <c:v>19.86</c:v>
                </c:pt>
                <c:pt idx="5">
                  <c:v>20.39</c:v>
                </c:pt>
                <c:pt idx="6">
                  <c:v>20.56</c:v>
                </c:pt>
                <c:pt idx="7">
                  <c:v>20.7</c:v>
                </c:pt>
                <c:pt idx="8">
                  <c:v>20.43</c:v>
                </c:pt>
                <c:pt idx="9">
                  <c:v>20.55</c:v>
                </c:pt>
                <c:pt idx="10">
                  <c:v>20.55</c:v>
                </c:pt>
                <c:pt idx="11">
                  <c:v>20.5</c:v>
                </c:pt>
                <c:pt idx="12">
                  <c:v>20.63</c:v>
                </c:pt>
                <c:pt idx="13">
                  <c:v>21.03</c:v>
                </c:pt>
                <c:pt idx="14">
                  <c:v>21.15</c:v>
                </c:pt>
                <c:pt idx="15">
                  <c:v>21.08</c:v>
                </c:pt>
                <c:pt idx="16">
                  <c:v>21.04</c:v>
                </c:pt>
                <c:pt idx="17">
                  <c:v>21.01</c:v>
                </c:pt>
                <c:pt idx="18">
                  <c:v>21.18</c:v>
                </c:pt>
                <c:pt idx="19">
                  <c:v>21.04</c:v>
                </c:pt>
                <c:pt idx="20">
                  <c:v>21.29</c:v>
                </c:pt>
                <c:pt idx="21">
                  <c:v>21.29</c:v>
                </c:pt>
                <c:pt idx="22">
                  <c:v>21.57</c:v>
                </c:pt>
                <c:pt idx="23">
                  <c:v>21.6</c:v>
                </c:pt>
                <c:pt idx="24">
                  <c:v>21.78</c:v>
                </c:pt>
                <c:pt idx="25">
                  <c:v>21.85</c:v>
                </c:pt>
                <c:pt idx="26">
                  <c:v>21.73</c:v>
                </c:pt>
                <c:pt idx="27">
                  <c:v>21.56</c:v>
                </c:pt>
                <c:pt idx="28">
                  <c:v>21.48</c:v>
                </c:pt>
                <c:pt idx="29">
                  <c:v>21.37</c:v>
                </c:pt>
                <c:pt idx="30">
                  <c:v>21.37</c:v>
                </c:pt>
                <c:pt idx="31">
                  <c:v>21.77</c:v>
                </c:pt>
                <c:pt idx="32">
                  <c:v>21.73</c:v>
                </c:pt>
                <c:pt idx="33">
                  <c:v>21.7</c:v>
                </c:pt>
                <c:pt idx="34">
                  <c:v>21.73</c:v>
                </c:pt>
                <c:pt idx="35">
                  <c:v>21.31</c:v>
                </c:pt>
                <c:pt idx="36">
                  <c:v>21.55</c:v>
                </c:pt>
                <c:pt idx="37">
                  <c:v>21.82</c:v>
                </c:pt>
                <c:pt idx="38">
                  <c:v>21.34</c:v>
                </c:pt>
                <c:pt idx="39">
                  <c:v>21.73</c:v>
                </c:pt>
                <c:pt idx="40">
                  <c:v>20.89</c:v>
                </c:pt>
                <c:pt idx="41">
                  <c:v>21.41</c:v>
                </c:pt>
                <c:pt idx="42">
                  <c:v>21.82</c:v>
                </c:pt>
                <c:pt idx="43">
                  <c:v>21.09</c:v>
                </c:pt>
                <c:pt idx="44">
                  <c:v>20.53</c:v>
                </c:pt>
                <c:pt idx="45">
                  <c:v>20.8</c:v>
                </c:pt>
                <c:pt idx="46">
                  <c:v>21.08</c:v>
                </c:pt>
                <c:pt idx="47">
                  <c:v>21.59</c:v>
                </c:pt>
                <c:pt idx="48">
                  <c:v>21.51</c:v>
                </c:pt>
                <c:pt idx="49">
                  <c:v>21.73</c:v>
                </c:pt>
                <c:pt idx="50">
                  <c:v>21.95</c:v>
                </c:pt>
                <c:pt idx="51">
                  <c:v>21.66</c:v>
                </c:pt>
                <c:pt idx="52">
                  <c:v>21</c:v>
                </c:pt>
                <c:pt idx="53">
                  <c:v>21.16</c:v>
                </c:pt>
                <c:pt idx="54">
                  <c:v>21.02</c:v>
                </c:pt>
                <c:pt idx="55">
                  <c:v>21.22</c:v>
                </c:pt>
                <c:pt idx="56">
                  <c:v>21.32</c:v>
                </c:pt>
                <c:pt idx="57">
                  <c:v>21.03</c:v>
                </c:pt>
                <c:pt idx="58">
                  <c:v>21.24</c:v>
                </c:pt>
                <c:pt idx="59">
                  <c:v>21.47</c:v>
                </c:pt>
                <c:pt idx="60">
                  <c:v>21.44</c:v>
                </c:pt>
                <c:pt idx="61">
                  <c:v>21.85</c:v>
                </c:pt>
                <c:pt idx="62">
                  <c:v>21.69</c:v>
                </c:pt>
                <c:pt idx="63">
                  <c:v>21.12</c:v>
                </c:pt>
                <c:pt idx="64">
                  <c:v>21.56</c:v>
                </c:pt>
                <c:pt idx="65">
                  <c:v>21.15</c:v>
                </c:pt>
                <c:pt idx="66">
                  <c:v>21.65</c:v>
                </c:pt>
                <c:pt idx="67">
                  <c:v>21.26</c:v>
                </c:pt>
                <c:pt idx="68">
                  <c:v>21.43</c:v>
                </c:pt>
                <c:pt idx="69">
                  <c:v>21.36</c:v>
                </c:pt>
                <c:pt idx="70">
                  <c:v>21.36</c:v>
                </c:pt>
                <c:pt idx="71">
                  <c:v>21.23</c:v>
                </c:pt>
                <c:pt idx="72">
                  <c:v>20.89</c:v>
                </c:pt>
                <c:pt idx="73">
                  <c:v>21.06</c:v>
                </c:pt>
                <c:pt idx="74">
                  <c:v>21.04</c:v>
                </c:pt>
                <c:pt idx="75">
                  <c:v>19.989999999999998</c:v>
                </c:pt>
                <c:pt idx="76">
                  <c:v>20.27</c:v>
                </c:pt>
                <c:pt idx="77">
                  <c:v>20.99</c:v>
                </c:pt>
                <c:pt idx="78">
                  <c:v>20.75</c:v>
                </c:pt>
                <c:pt idx="79">
                  <c:v>20.99</c:v>
                </c:pt>
                <c:pt idx="80">
                  <c:v>21.19</c:v>
                </c:pt>
                <c:pt idx="81">
                  <c:v>21.21</c:v>
                </c:pt>
                <c:pt idx="82">
                  <c:v>20.88</c:v>
                </c:pt>
                <c:pt idx="83">
                  <c:v>20.47</c:v>
                </c:pt>
                <c:pt idx="84">
                  <c:v>20.5</c:v>
                </c:pt>
                <c:pt idx="85">
                  <c:v>20.059999999999999</c:v>
                </c:pt>
                <c:pt idx="86">
                  <c:v>20.59</c:v>
                </c:pt>
                <c:pt idx="87">
                  <c:v>21.05</c:v>
                </c:pt>
                <c:pt idx="88">
                  <c:v>20.64</c:v>
                </c:pt>
                <c:pt idx="89">
                  <c:v>20.420000000000002</c:v>
                </c:pt>
                <c:pt idx="90">
                  <c:v>19.84</c:v>
                </c:pt>
                <c:pt idx="91">
                  <c:v>20.59</c:v>
                </c:pt>
                <c:pt idx="92">
                  <c:v>20.62</c:v>
                </c:pt>
                <c:pt idx="93">
                  <c:v>20.7</c:v>
                </c:pt>
                <c:pt idx="94">
                  <c:v>20.39</c:v>
                </c:pt>
                <c:pt idx="95">
                  <c:v>20.440000000000001</c:v>
                </c:pt>
                <c:pt idx="96">
                  <c:v>20.65</c:v>
                </c:pt>
                <c:pt idx="97">
                  <c:v>20.34</c:v>
                </c:pt>
                <c:pt idx="98">
                  <c:v>20</c:v>
                </c:pt>
                <c:pt idx="99">
                  <c:v>19.510000000000002</c:v>
                </c:pt>
                <c:pt idx="100">
                  <c:v>19.8</c:v>
                </c:pt>
                <c:pt idx="101">
                  <c:v>19.399999999999999</c:v>
                </c:pt>
                <c:pt idx="102">
                  <c:v>18.98</c:v>
                </c:pt>
                <c:pt idx="103">
                  <c:v>19.11</c:v>
                </c:pt>
                <c:pt idx="104">
                  <c:v>18.850000000000001</c:v>
                </c:pt>
                <c:pt idx="105">
                  <c:v>18.97</c:v>
                </c:pt>
                <c:pt idx="106">
                  <c:v>18.8</c:v>
                </c:pt>
                <c:pt idx="107">
                  <c:v>19.16</c:v>
                </c:pt>
                <c:pt idx="108">
                  <c:v>19.2</c:v>
                </c:pt>
                <c:pt idx="109">
                  <c:v>19.38</c:v>
                </c:pt>
                <c:pt idx="110">
                  <c:v>19.53</c:v>
                </c:pt>
                <c:pt idx="111">
                  <c:v>19.190000000000001</c:v>
                </c:pt>
                <c:pt idx="112">
                  <c:v>19.27</c:v>
                </c:pt>
                <c:pt idx="113">
                  <c:v>19.57</c:v>
                </c:pt>
                <c:pt idx="114">
                  <c:v>19.54</c:v>
                </c:pt>
                <c:pt idx="115">
                  <c:v>19.940000000000001</c:v>
                </c:pt>
                <c:pt idx="116">
                  <c:v>19.88</c:v>
                </c:pt>
                <c:pt idx="117">
                  <c:v>19.829999999999998</c:v>
                </c:pt>
                <c:pt idx="118">
                  <c:v>19.8</c:v>
                </c:pt>
                <c:pt idx="119">
                  <c:v>19.649999999999999</c:v>
                </c:pt>
                <c:pt idx="120">
                  <c:v>19.940000000000001</c:v>
                </c:pt>
                <c:pt idx="121">
                  <c:v>19.91</c:v>
                </c:pt>
                <c:pt idx="122">
                  <c:v>20.04</c:v>
                </c:pt>
                <c:pt idx="123">
                  <c:v>20.18</c:v>
                </c:pt>
                <c:pt idx="124">
                  <c:v>19.82</c:v>
                </c:pt>
                <c:pt idx="125">
                  <c:v>19.989999999999998</c:v>
                </c:pt>
                <c:pt idx="126">
                  <c:v>20.63</c:v>
                </c:pt>
                <c:pt idx="127">
                  <c:v>21</c:v>
                </c:pt>
                <c:pt idx="128">
                  <c:v>21.5</c:v>
                </c:pt>
                <c:pt idx="129">
                  <c:v>21.36</c:v>
                </c:pt>
                <c:pt idx="130">
                  <c:v>21.34</c:v>
                </c:pt>
                <c:pt idx="131">
                  <c:v>21.4</c:v>
                </c:pt>
                <c:pt idx="132">
                  <c:v>21.61</c:v>
                </c:pt>
                <c:pt idx="133">
                  <c:v>21.95</c:v>
                </c:pt>
                <c:pt idx="134">
                  <c:v>22.56</c:v>
                </c:pt>
                <c:pt idx="135">
                  <c:v>22.04</c:v>
                </c:pt>
                <c:pt idx="136">
                  <c:v>22.24</c:v>
                </c:pt>
                <c:pt idx="137">
                  <c:v>22.19</c:v>
                </c:pt>
                <c:pt idx="138">
                  <c:v>22.66</c:v>
                </c:pt>
                <c:pt idx="139">
                  <c:v>23</c:v>
                </c:pt>
                <c:pt idx="140">
                  <c:v>23.01</c:v>
                </c:pt>
                <c:pt idx="141">
                  <c:v>21.92</c:v>
                </c:pt>
                <c:pt idx="142">
                  <c:v>21.3</c:v>
                </c:pt>
                <c:pt idx="143">
                  <c:v>21.4</c:v>
                </c:pt>
                <c:pt idx="144">
                  <c:v>21.6</c:v>
                </c:pt>
                <c:pt idx="145">
                  <c:v>21.56</c:v>
                </c:pt>
                <c:pt idx="146">
                  <c:v>22.21</c:v>
                </c:pt>
                <c:pt idx="147">
                  <c:v>21.83</c:v>
                </c:pt>
                <c:pt idx="148">
                  <c:v>21.11</c:v>
                </c:pt>
                <c:pt idx="149">
                  <c:v>20.350000000000001</c:v>
                </c:pt>
                <c:pt idx="150">
                  <c:v>20.47</c:v>
                </c:pt>
                <c:pt idx="151">
                  <c:v>20.329999999999998</c:v>
                </c:pt>
                <c:pt idx="152">
                  <c:v>20.350000000000001</c:v>
                </c:pt>
                <c:pt idx="153">
                  <c:v>20.239999999999998</c:v>
                </c:pt>
                <c:pt idx="154">
                  <c:v>20.54</c:v>
                </c:pt>
                <c:pt idx="155">
                  <c:v>20.239999999999998</c:v>
                </c:pt>
                <c:pt idx="156">
                  <c:v>20.41</c:v>
                </c:pt>
                <c:pt idx="157">
                  <c:v>20.48</c:v>
                </c:pt>
                <c:pt idx="158">
                  <c:v>20.399999999999999</c:v>
                </c:pt>
                <c:pt idx="159">
                  <c:v>20.25</c:v>
                </c:pt>
                <c:pt idx="160">
                  <c:v>20.21</c:v>
                </c:pt>
                <c:pt idx="161">
                  <c:v>20.12</c:v>
                </c:pt>
                <c:pt idx="162">
                  <c:v>19.600000000000001</c:v>
                </c:pt>
                <c:pt idx="163">
                  <c:v>19.97</c:v>
                </c:pt>
                <c:pt idx="164">
                  <c:v>19.649999999999999</c:v>
                </c:pt>
                <c:pt idx="165">
                  <c:v>19.329999999999998</c:v>
                </c:pt>
                <c:pt idx="166">
                  <c:v>20.05</c:v>
                </c:pt>
                <c:pt idx="167">
                  <c:v>20.47</c:v>
                </c:pt>
                <c:pt idx="168">
                  <c:v>20.97</c:v>
                </c:pt>
                <c:pt idx="169">
                  <c:v>21.52</c:v>
                </c:pt>
                <c:pt idx="170">
                  <c:v>21.59</c:v>
                </c:pt>
                <c:pt idx="171">
                  <c:v>21.19</c:v>
                </c:pt>
                <c:pt idx="172">
                  <c:v>21.05</c:v>
                </c:pt>
                <c:pt idx="173">
                  <c:v>20.81</c:v>
                </c:pt>
                <c:pt idx="174">
                  <c:v>20.7</c:v>
                </c:pt>
                <c:pt idx="175">
                  <c:v>20.66</c:v>
                </c:pt>
                <c:pt idx="176">
                  <c:v>20.89</c:v>
                </c:pt>
                <c:pt idx="177">
                  <c:v>20.53</c:v>
                </c:pt>
                <c:pt idx="178">
                  <c:v>20.66</c:v>
                </c:pt>
                <c:pt idx="179">
                  <c:v>20.7</c:v>
                </c:pt>
                <c:pt idx="180">
                  <c:v>20.85</c:v>
                </c:pt>
                <c:pt idx="181">
                  <c:v>20.76</c:v>
                </c:pt>
                <c:pt idx="182">
                  <c:v>21.43</c:v>
                </c:pt>
                <c:pt idx="183">
                  <c:v>21.91</c:v>
                </c:pt>
                <c:pt idx="184">
                  <c:v>21.48</c:v>
                </c:pt>
                <c:pt idx="185">
                  <c:v>21.87</c:v>
                </c:pt>
                <c:pt idx="186">
                  <c:v>21.95</c:v>
                </c:pt>
                <c:pt idx="187">
                  <c:v>22.54</c:v>
                </c:pt>
                <c:pt idx="188">
                  <c:v>22.45</c:v>
                </c:pt>
                <c:pt idx="189">
                  <c:v>22.35</c:v>
                </c:pt>
                <c:pt idx="190">
                  <c:v>22.21</c:v>
                </c:pt>
                <c:pt idx="191">
                  <c:v>21.68</c:v>
                </c:pt>
                <c:pt idx="192">
                  <c:v>21.61</c:v>
                </c:pt>
                <c:pt idx="193">
                  <c:v>21.24</c:v>
                </c:pt>
                <c:pt idx="194">
                  <c:v>21.67</c:v>
                </c:pt>
                <c:pt idx="195">
                  <c:v>21.62</c:v>
                </c:pt>
                <c:pt idx="196">
                  <c:v>21.92</c:v>
                </c:pt>
                <c:pt idx="197">
                  <c:v>21.85</c:v>
                </c:pt>
                <c:pt idx="198">
                  <c:v>21.89</c:v>
                </c:pt>
                <c:pt idx="199">
                  <c:v>21.51</c:v>
                </c:pt>
                <c:pt idx="200">
                  <c:v>21.52</c:v>
                </c:pt>
                <c:pt idx="201">
                  <c:v>21.33</c:v>
                </c:pt>
                <c:pt idx="202">
                  <c:v>21.62</c:v>
                </c:pt>
                <c:pt idx="203">
                  <c:v>17.2</c:v>
                </c:pt>
                <c:pt idx="204">
                  <c:v>17.309999999999999</c:v>
                </c:pt>
                <c:pt idx="205">
                  <c:v>16.87</c:v>
                </c:pt>
                <c:pt idx="206">
                  <c:v>16.37</c:v>
                </c:pt>
                <c:pt idx="207">
                  <c:v>15.86</c:v>
                </c:pt>
                <c:pt idx="208">
                  <c:v>15.89</c:v>
                </c:pt>
                <c:pt idx="209">
                  <c:v>15.68</c:v>
                </c:pt>
                <c:pt idx="210">
                  <c:v>15.67</c:v>
                </c:pt>
                <c:pt idx="211">
                  <c:v>15.9</c:v>
                </c:pt>
                <c:pt idx="212">
                  <c:v>15.98</c:v>
                </c:pt>
                <c:pt idx="213">
                  <c:v>15.73</c:v>
                </c:pt>
                <c:pt idx="214">
                  <c:v>15.53</c:v>
                </c:pt>
                <c:pt idx="215">
                  <c:v>15.65</c:v>
                </c:pt>
                <c:pt idx="216">
                  <c:v>15.8</c:v>
                </c:pt>
                <c:pt idx="217">
                  <c:v>16.12</c:v>
                </c:pt>
                <c:pt idx="218">
                  <c:v>16.25</c:v>
                </c:pt>
                <c:pt idx="219">
                  <c:v>16.3</c:v>
                </c:pt>
                <c:pt idx="220">
                  <c:v>16.43</c:v>
                </c:pt>
                <c:pt idx="221">
                  <c:v>16.63</c:v>
                </c:pt>
                <c:pt idx="222">
                  <c:v>17.39</c:v>
                </c:pt>
                <c:pt idx="223">
                  <c:v>17.329999999999998</c:v>
                </c:pt>
                <c:pt idx="224">
                  <c:v>17.16</c:v>
                </c:pt>
                <c:pt idx="225">
                  <c:v>17.48</c:v>
                </c:pt>
                <c:pt idx="226">
                  <c:v>17.21</c:v>
                </c:pt>
                <c:pt idx="227">
                  <c:v>16.98</c:v>
                </c:pt>
                <c:pt idx="228">
                  <c:v>17</c:v>
                </c:pt>
                <c:pt idx="229">
                  <c:v>16.93</c:v>
                </c:pt>
                <c:pt idx="230">
                  <c:v>16.7</c:v>
                </c:pt>
                <c:pt idx="231">
                  <c:v>17.13</c:v>
                </c:pt>
                <c:pt idx="232">
                  <c:v>17.39</c:v>
                </c:pt>
                <c:pt idx="233">
                  <c:v>17.510000000000002</c:v>
                </c:pt>
                <c:pt idx="234">
                  <c:v>17.329999999999998</c:v>
                </c:pt>
                <c:pt idx="235">
                  <c:v>17.059999999999999</c:v>
                </c:pt>
                <c:pt idx="236">
                  <c:v>17</c:v>
                </c:pt>
                <c:pt idx="237">
                  <c:v>16.87</c:v>
                </c:pt>
                <c:pt idx="238">
                  <c:v>16.920000000000002</c:v>
                </c:pt>
                <c:pt idx="239">
                  <c:v>16.690000000000001</c:v>
                </c:pt>
                <c:pt idx="240">
                  <c:v>16.399999999999999</c:v>
                </c:pt>
                <c:pt idx="241">
                  <c:v>16.23</c:v>
                </c:pt>
                <c:pt idx="242">
                  <c:v>16.149999999999999</c:v>
                </c:pt>
                <c:pt idx="243">
                  <c:v>16.36</c:v>
                </c:pt>
                <c:pt idx="244">
                  <c:v>16.47</c:v>
                </c:pt>
                <c:pt idx="245">
                  <c:v>16.649999999999999</c:v>
                </c:pt>
                <c:pt idx="246">
                  <c:v>16.52</c:v>
                </c:pt>
                <c:pt idx="247">
                  <c:v>16.3</c:v>
                </c:pt>
                <c:pt idx="248">
                  <c:v>16.239999999999998</c:v>
                </c:pt>
                <c:pt idx="249">
                  <c:v>16.489999999999998</c:v>
                </c:pt>
                <c:pt idx="250">
                  <c:v>16.45</c:v>
                </c:pt>
                <c:pt idx="251">
                  <c:v>16.72</c:v>
                </c:pt>
                <c:pt idx="252">
                  <c:v>16.71</c:v>
                </c:pt>
                <c:pt idx="253">
                  <c:v>16.68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6-4F50-BD0F-AB61C2C1E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237219247"/>
        <c:axId val="561757503"/>
      </c:lineChart>
      <c:catAx>
        <c:axId val="12372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61757503"/>
        <c:crosses val="autoZero"/>
        <c:auto val="1"/>
        <c:lblAlgn val="ctr"/>
        <c:lblOffset val="100"/>
        <c:tickLblSkip val="10"/>
        <c:noMultiLvlLbl val="0"/>
      </c:catAx>
      <c:valAx>
        <c:axId val="56175750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2372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FLT</a:t>
            </a:r>
            <a:r>
              <a:rPr lang="en-US" baseline="0"/>
              <a:t> 2024 Maximum Returns (4x trades)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'Multiple trades for maximum pro'!$D$2:$D$9</c:f>
              <c:strCache>
                <c:ptCount val="8"/>
                <c:pt idx="0">
                  <c:v>18/01/2024</c:v>
                </c:pt>
                <c:pt idx="1">
                  <c:v>13/03/2024</c:v>
                </c:pt>
                <c:pt idx="2">
                  <c:v>04/06/2024</c:v>
                </c:pt>
                <c:pt idx="3">
                  <c:v>23/07/2024</c:v>
                </c:pt>
                <c:pt idx="4">
                  <c:v>27/08/2024</c:v>
                </c:pt>
                <c:pt idx="5">
                  <c:v>26/09/2024</c:v>
                </c:pt>
                <c:pt idx="6">
                  <c:v>04/11/2024</c:v>
                </c:pt>
                <c:pt idx="7">
                  <c:v>29/11/2024</c:v>
                </c:pt>
              </c:strCache>
            </c:strRef>
          </c:cat>
          <c:val>
            <c:numRef>
              <c:f>'Multiple trades for maximum pro'!$E$2:$E$9</c:f>
              <c:numCache>
                <c:formatCode>[$$-C09]#,##0.00</c:formatCode>
                <c:ptCount val="8"/>
                <c:pt idx="0">
                  <c:v>19.86</c:v>
                </c:pt>
                <c:pt idx="1">
                  <c:v>21.95</c:v>
                </c:pt>
                <c:pt idx="2">
                  <c:v>18.8</c:v>
                </c:pt>
                <c:pt idx="3">
                  <c:v>23.01</c:v>
                </c:pt>
                <c:pt idx="4">
                  <c:v>19.329999999999998</c:v>
                </c:pt>
                <c:pt idx="5">
                  <c:v>22.54</c:v>
                </c:pt>
                <c:pt idx="6">
                  <c:v>15.53</c:v>
                </c:pt>
                <c:pt idx="7">
                  <c:v>17.510000000000002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2C-437B-9A24-F4E582B3E209}"/>
            </c:ext>
          </c:extLst>
        </c:ser>
        <c:ser>
          <c:idx val="1"/>
          <c:order val="1"/>
          <c:tx>
            <c:v>Invest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'Multiple trades for maximum pro'!$D$2:$D$9</c:f>
              <c:strCache>
                <c:ptCount val="8"/>
                <c:pt idx="0">
                  <c:v>18/01/2024</c:v>
                </c:pt>
                <c:pt idx="1">
                  <c:v>13/03/2024</c:v>
                </c:pt>
                <c:pt idx="2">
                  <c:v>04/06/2024</c:v>
                </c:pt>
                <c:pt idx="3">
                  <c:v>23/07/2024</c:v>
                </c:pt>
                <c:pt idx="4">
                  <c:v>27/08/2024</c:v>
                </c:pt>
                <c:pt idx="5">
                  <c:v>26/09/2024</c:v>
                </c:pt>
                <c:pt idx="6">
                  <c:v>04/11/2024</c:v>
                </c:pt>
                <c:pt idx="7">
                  <c:v>29/11/2024</c:v>
                </c:pt>
              </c:strCache>
            </c:strRef>
          </c:cat>
          <c:val>
            <c:numRef>
              <c:f>'Multiple trades for maximum pro'!$F$2:$F$9</c:f>
              <c:numCache>
                <c:formatCode>[$$-C09]#,##0.00</c:formatCode>
                <c:ptCount val="8"/>
                <c:pt idx="0">
                  <c:v>993</c:v>
                </c:pt>
                <c:pt idx="1">
                  <c:v>1097.5</c:v>
                </c:pt>
                <c:pt idx="2">
                  <c:v>1090.4000000000001</c:v>
                </c:pt>
                <c:pt idx="3">
                  <c:v>1334.5800000000002</c:v>
                </c:pt>
                <c:pt idx="4">
                  <c:v>1333.77</c:v>
                </c:pt>
                <c:pt idx="5">
                  <c:v>1555.26</c:v>
                </c:pt>
                <c:pt idx="6">
                  <c:v>1568.53</c:v>
                </c:pt>
                <c:pt idx="7">
                  <c:v>1768.5100000000002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2C-437B-9A24-F4E582B3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046856"/>
        <c:axId val="516048904"/>
      </c:barChart>
      <c:lineChart>
        <c:grouping val="standard"/>
        <c:varyColors val="0"/>
        <c:ser>
          <c:idx val="2"/>
          <c:order val="2"/>
          <c:tx>
            <c:v>Profit (%)</c:v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27-4243-B738-558AA63C63D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7-4243-B738-558AA63C63D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27-4243-B738-558AA63C63D2}"/>
              </c:ext>
            </c:extLst>
          </c:dPt>
          <c:dLbls>
            <c:dLbl>
              <c:idx val="0"/>
              <c:layout>
                <c:manualLayout>
                  <c:x val="-1.7612524461839529E-2"/>
                  <c:y val="-7.0484581497797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217-914E-855C-E7BC3A2DC772}"/>
                </c:ext>
              </c:extLst>
            </c:dLbl>
            <c:dLbl>
              <c:idx val="1"/>
              <c:layout>
                <c:manualLayout>
                  <c:x val="-5.8708414872798431E-3"/>
                  <c:y val="-7.0484581497797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217-914E-855C-E7BC3A2DC772}"/>
                </c:ext>
              </c:extLst>
            </c:dLbl>
            <c:dLbl>
              <c:idx val="2"/>
              <c:layout>
                <c:manualLayout>
                  <c:x val="-1.5655577299412915E-2"/>
                  <c:y val="-7.268722466960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27-4243-B738-558AA63C63D2}"/>
                </c:ext>
              </c:extLst>
            </c:dLbl>
            <c:dLbl>
              <c:idx val="3"/>
              <c:layout>
                <c:manualLayout>
                  <c:x val="-2.9354207436399216E-3"/>
                  <c:y val="-5.5066079295154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217-914E-855C-E7BC3A2DC772}"/>
                </c:ext>
              </c:extLst>
            </c:dLbl>
            <c:dLbl>
              <c:idx val="4"/>
              <c:layout>
                <c:manualLayout>
                  <c:x val="-1.0763209393346379E-2"/>
                  <c:y val="-6.60792951541850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27-4243-B738-558AA63C63D2}"/>
                </c:ext>
              </c:extLst>
            </c:dLbl>
            <c:dLbl>
              <c:idx val="5"/>
              <c:layout>
                <c:manualLayout>
                  <c:x val="-7.8277886497064575E-3"/>
                  <c:y val="-5.0660792951541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217-914E-855C-E7BC3A2DC772}"/>
                </c:ext>
              </c:extLst>
            </c:dLbl>
            <c:dLbl>
              <c:idx val="6"/>
              <c:layout>
                <c:manualLayout>
                  <c:x val="-1.4677103718199608E-2"/>
                  <c:y val="-6.1674008810572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27-4243-B738-558AA63C63D2}"/>
                </c:ext>
              </c:extLst>
            </c:dLbl>
            <c:dLbl>
              <c:idx val="7"/>
              <c:layout>
                <c:manualLayout>
                  <c:x val="-1.9569471624266144E-3"/>
                  <c:y val="-6.16740088105727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17-914E-855C-E7BC3A2DC772}"/>
                </c:ext>
              </c:extLst>
            </c:dLbl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'Multiple trades for maximum pro'!$D$2:$D$9</c:f>
              <c:strCache>
                <c:ptCount val="8"/>
                <c:pt idx="0">
                  <c:v>18/01/2024</c:v>
                </c:pt>
                <c:pt idx="1">
                  <c:v>13/03/2024</c:v>
                </c:pt>
                <c:pt idx="2">
                  <c:v>04/06/2024</c:v>
                </c:pt>
                <c:pt idx="3">
                  <c:v>23/07/2024</c:v>
                </c:pt>
                <c:pt idx="4">
                  <c:v>27/08/2024</c:v>
                </c:pt>
                <c:pt idx="5">
                  <c:v>26/09/2024</c:v>
                </c:pt>
                <c:pt idx="6">
                  <c:v>04/11/2024</c:v>
                </c:pt>
                <c:pt idx="7">
                  <c:v>29/11/2024</c:v>
                </c:pt>
              </c:strCache>
            </c:strRef>
          </c:cat>
          <c:val>
            <c:numRef>
              <c:f>'Multiple trades for maximum pro'!$G$2:$G$9</c:f>
              <c:numCache>
                <c:formatCode>0.00%</c:formatCode>
                <c:ptCount val="8"/>
                <c:pt idx="0">
                  <c:v>1</c:v>
                </c:pt>
                <c:pt idx="1">
                  <c:v>1.1052366565961731</c:v>
                </c:pt>
                <c:pt idx="2">
                  <c:v>1</c:v>
                </c:pt>
                <c:pt idx="3">
                  <c:v>1.223936170212766</c:v>
                </c:pt>
                <c:pt idx="4">
                  <c:v>1</c:v>
                </c:pt>
                <c:pt idx="5">
                  <c:v>1.1660631143300568</c:v>
                </c:pt>
                <c:pt idx="6">
                  <c:v>1</c:v>
                </c:pt>
                <c:pt idx="7">
                  <c:v>1.1274951706374761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2C-437B-9A24-F4E582B3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02888"/>
        <c:axId val="2046191624"/>
      </c:lineChart>
      <c:catAx>
        <c:axId val="51604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48904"/>
        <c:crosses val="autoZero"/>
        <c:auto val="1"/>
        <c:lblAlgn val="ctr"/>
        <c:lblOffset val="100"/>
        <c:tickMarkSkip val="2"/>
        <c:noMultiLvlLbl val="0"/>
      </c:catAx>
      <c:valAx>
        <c:axId val="516048904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46856"/>
        <c:crosses val="autoZero"/>
        <c:crossBetween val="between"/>
        <c:majorUnit val="500"/>
      </c:valAx>
      <c:valAx>
        <c:axId val="2046191624"/>
        <c:scaling>
          <c:orientation val="minMax"/>
          <c:max val="1.4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02888"/>
        <c:crosses val="max"/>
        <c:crossBetween val="between"/>
        <c:majorUnit val="0.2"/>
      </c:valAx>
      <c:catAx>
        <c:axId val="2046202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6191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8</xdr:row>
      <xdr:rowOff>166512</xdr:rowOff>
    </xdr:from>
    <xdr:to>
      <xdr:col>21</xdr:col>
      <xdr:colOff>197556</xdr:colOff>
      <xdr:row>48</xdr:row>
      <xdr:rowOff>1</xdr:rowOff>
    </xdr:to>
    <xdr:graphicFrame macro="">
      <xdr:nvGraphicFramePr>
        <xdr:cNvPr id="71" name="Chart 14">
          <a:extLst>
            <a:ext uri="{FF2B5EF4-FFF2-40B4-BE49-F238E27FC236}">
              <a16:creationId xmlns:a16="http://schemas.microsoft.com/office/drawing/2014/main" id="{790AB8BF-633A-F2B4-D671-380D114C5A9D}"/>
            </a:ext>
            <a:ext uri="{147F2762-F138-4A5C-976F-8EAC2B608ADB}">
              <a16:predDERef xmlns:a16="http://schemas.microsoft.com/office/drawing/2014/main" pred="{6AA1847B-1DB0-364E-A073-37C339F26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0.37168</cdr:x>
      <cdr:y>0.36297</cdr:y>
    </cdr:from>
    <cdr:to>
      <cdr:x>0.44729</cdr:x>
      <cdr:y>0.43269</cdr:y>
    </cdr:to>
    <cdr:sp macro="" textlink="">
      <cdr:nvSpPr>
        <cdr:cNvPr id="2" name="Snip Diagonal Corner Rectangle 1">
          <a:extLst xmlns:a="http://schemas.openxmlformats.org/drawingml/2006/main">
            <a:ext uri="{FF2B5EF4-FFF2-40B4-BE49-F238E27FC236}">
              <a16:creationId xmlns:a16="http://schemas.microsoft.com/office/drawing/2014/main" id="{EACF3FB0-27BE-2372-3D74-E21F6EDE3037}"/>
            </a:ext>
          </a:extLst>
        </cdr:cNvPr>
        <cdr:cNvSpPr/>
      </cdr:nvSpPr>
      <cdr:spPr>
        <a:xfrm xmlns:a="http://schemas.openxmlformats.org/drawingml/2006/main">
          <a:off x="5618692" y="2571045"/>
          <a:ext cx="1143001" cy="493888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tx2">
            <a:lumMod val="25000"/>
            <a:lumOff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Dropped after higher</a:t>
          </a:r>
          <a:r>
            <a:rPr lang="en-US" sz="1000" b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volumes</a:t>
          </a:r>
          <a:endParaRPr lang="en-US" sz="1000" b="1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0.44543</cdr:x>
      <cdr:y>0.29324</cdr:y>
    </cdr:from>
    <cdr:to>
      <cdr:x>0.4781</cdr:x>
      <cdr:y>0.36894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8F00EC8F-B84F-7925-B1D2-20991B23BC25}"/>
            </a:ext>
          </a:extLst>
        </cdr:cNvPr>
        <cdr:cNvCxnSpPr/>
      </cdr:nvCxnSpPr>
      <cdr:spPr>
        <a:xfrm xmlns:a="http://schemas.openxmlformats.org/drawingml/2006/main" flipV="1">
          <a:off x="6733470" y="2077156"/>
          <a:ext cx="493889" cy="53622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89959</xdr:colOff>
      <xdr:row>1</xdr:row>
      <xdr:rowOff>79375</xdr:rowOff>
    </xdr:from>
    <xdr:to>
      <xdr:col>25</xdr:col>
      <xdr:colOff>38100</xdr:colOff>
      <xdr:row>36</xdr:row>
      <xdr:rowOff>114300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CDC3B921-06A6-510F-C373-46D7FD413E06}"/>
            </a:ext>
            <a:ext uri="{147F2762-F138-4A5C-976F-8EAC2B608ADB}">
              <a16:predDERef xmlns:a16="http://schemas.microsoft.com/office/drawing/2014/main" pred="{2209F23D-4054-4978-D4D3-81F2A8211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0.14793</cdr:x>
      <cdr:y>0.38375</cdr:y>
    </cdr:from>
    <cdr:to>
      <cdr:x>0.18196</cdr:x>
      <cdr:y>0.41144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4EAD091-AB9E-26C6-2C7F-529536803D50}"/>
            </a:ext>
          </a:extLst>
        </cdr:cNvPr>
        <cdr:cNvSpPr/>
      </cdr:nvSpPr>
      <cdr:spPr>
        <a:xfrm xmlns:a="http://schemas.openxmlformats.org/drawingml/2006/main">
          <a:off x="2631917" y="3941544"/>
          <a:ext cx="605450" cy="284381"/>
        </a:xfrm>
        <a:prstGeom xmlns:a="http://schemas.openxmlformats.org/drawingml/2006/main" prst="rect">
          <a:avLst/>
        </a:prstGeom>
        <a:solidFill xmlns:a="http://schemas.openxmlformats.org/drawingml/2006/main">
          <a:srgbClr val="FF3035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400" kern="1200">
              <a:solidFill>
                <a:schemeClr val="tx1"/>
              </a:solidFill>
            </a:rPr>
            <a:t>20.89</a:t>
          </a:r>
        </a:p>
      </cdr:txBody>
    </cdr:sp>
  </cdr:relSizeAnchor>
  <cdr:relSizeAnchor xmlns:cdr="http://schemas.openxmlformats.org/drawingml/2006/chartDrawing">
    <cdr:from>
      <cdr:x>0.16299</cdr:x>
      <cdr:y>0.34283</cdr:y>
    </cdr:from>
    <cdr:to>
      <cdr:x>0.18377</cdr:x>
      <cdr:y>0.38265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C50AB6D3-7488-98CD-D0DC-EAF924A7E907}"/>
            </a:ext>
          </a:extLst>
        </cdr:cNvPr>
        <cdr:cNvCxnSpPr/>
      </cdr:nvCxnSpPr>
      <cdr:spPr>
        <a:xfrm xmlns:a="http://schemas.openxmlformats.org/drawingml/2006/main" flipV="1">
          <a:off x="2767541" y="2734028"/>
          <a:ext cx="352778" cy="3175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2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0.27984</cdr:x>
      <cdr:y>0.46643</cdr:y>
    </cdr:from>
    <cdr:to>
      <cdr:x>0.32191</cdr:x>
      <cdr:y>0.49901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43A30D96-76C4-E4C1-34D0-E00BB04FE1DE}"/>
            </a:ext>
          </a:extLst>
        </cdr:cNvPr>
        <cdr:cNvSpPr/>
      </cdr:nvSpPr>
      <cdr:spPr>
        <a:xfrm xmlns:a="http://schemas.openxmlformats.org/drawingml/2006/main">
          <a:off x="4889963" y="3748197"/>
          <a:ext cx="735077" cy="261828"/>
        </a:xfrm>
        <a:prstGeom xmlns:a="http://schemas.openxmlformats.org/drawingml/2006/main" prst="rect">
          <a:avLst/>
        </a:prstGeom>
        <a:solidFill xmlns:a="http://schemas.openxmlformats.org/drawingml/2006/main">
          <a:srgbClr val="FF3035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kern="1200">
              <a:solidFill>
                <a:schemeClr val="tx1"/>
              </a:solidFill>
            </a:rPr>
            <a:t>19.99</a:t>
          </a:r>
        </a:p>
      </cdr:txBody>
    </cdr:sp>
  </cdr:relSizeAnchor>
  <cdr:relSizeAnchor xmlns:cdr="http://schemas.openxmlformats.org/drawingml/2006/chartDrawing">
    <cdr:from>
      <cdr:x>0.2949</cdr:x>
      <cdr:y>0.42551</cdr:y>
    </cdr:from>
    <cdr:to>
      <cdr:x>0.31568</cdr:x>
      <cdr:y>0.46532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66F18A26-8A0B-EEB5-3691-24EA817E94BA}"/>
            </a:ext>
          </a:extLst>
        </cdr:cNvPr>
        <cdr:cNvCxnSpPr/>
      </cdr:nvCxnSpPr>
      <cdr:spPr>
        <a:xfrm xmlns:a="http://schemas.openxmlformats.org/drawingml/2006/main" flipV="1">
          <a:off x="5007327" y="3393369"/>
          <a:ext cx="352778" cy="3175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2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0.54907</cdr:x>
      <cdr:y>0.2788</cdr:y>
    </cdr:from>
    <cdr:to>
      <cdr:x>0.56314</cdr:x>
      <cdr:y>0.34504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66F18A26-8A0B-EEB5-3691-24EA817E94BA}"/>
            </a:ext>
          </a:extLst>
        </cdr:cNvPr>
        <cdr:cNvCxnSpPr>
          <a:stCxn xmlns:a="http://schemas.openxmlformats.org/drawingml/2006/main" id="10" idx="0"/>
        </cdr:cNvCxnSpPr>
      </cdr:nvCxnSpPr>
      <cdr:spPr>
        <a:xfrm xmlns:a="http://schemas.openxmlformats.org/drawingml/2006/main" flipV="1">
          <a:off x="9768857" y="2863590"/>
          <a:ext cx="250328" cy="68036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2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0.75445</cdr:x>
      <cdr:y>0.73627</cdr:y>
    </cdr:from>
    <cdr:to>
      <cdr:x>0.79359</cdr:x>
      <cdr:y>0.76768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A9702895-470A-368E-CE0E-1147DF9F4F62}"/>
            </a:ext>
          </a:extLst>
        </cdr:cNvPr>
        <cdr:cNvSpPr/>
      </cdr:nvSpPr>
      <cdr:spPr>
        <a:xfrm xmlns:a="http://schemas.openxmlformats.org/drawingml/2006/main">
          <a:off x="13183365" y="5916609"/>
          <a:ext cx="683975" cy="252415"/>
        </a:xfrm>
        <a:prstGeom xmlns:a="http://schemas.openxmlformats.org/drawingml/2006/main" prst="rect">
          <a:avLst/>
        </a:prstGeom>
        <a:solidFill xmlns:a="http://schemas.openxmlformats.org/drawingml/2006/main">
          <a:srgbClr val="FF3035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kern="1200">
              <a:solidFill>
                <a:schemeClr val="tx1"/>
              </a:solidFill>
            </a:rPr>
            <a:t>17.20</a:t>
          </a:r>
        </a:p>
      </cdr:txBody>
    </cdr:sp>
  </cdr:relSizeAnchor>
  <cdr:relSizeAnchor xmlns:cdr="http://schemas.openxmlformats.org/drawingml/2006/chartDrawing">
    <cdr:from>
      <cdr:x>0.53</cdr:x>
      <cdr:y>0.34504</cdr:y>
    </cdr:from>
    <cdr:to>
      <cdr:x>0.56814</cdr:x>
      <cdr:y>0.37682</cdr:y>
    </cdr:to>
    <cdr:sp macro="" textlink="">
      <cdr:nvSpPr>
        <cdr:cNvPr id="10" name="Rectangle 9">
          <a:extLst xmlns:a="http://schemas.openxmlformats.org/drawingml/2006/main">
            <a:ext uri="{FF2B5EF4-FFF2-40B4-BE49-F238E27FC236}">
              <a16:creationId xmlns:a16="http://schemas.microsoft.com/office/drawing/2014/main" id="{A9702895-470A-368E-CE0E-1147DF9F4F62}"/>
            </a:ext>
          </a:extLst>
        </cdr:cNvPr>
        <cdr:cNvSpPr/>
      </cdr:nvSpPr>
      <cdr:spPr>
        <a:xfrm xmlns:a="http://schemas.openxmlformats.org/drawingml/2006/main">
          <a:off x="9429570" y="3543950"/>
          <a:ext cx="678573" cy="326376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kern="1200">
              <a:solidFill>
                <a:schemeClr val="tx1"/>
              </a:solidFill>
            </a:rPr>
            <a:t>21.92</a:t>
          </a:r>
        </a:p>
      </cdr:txBody>
    </cdr:sp>
  </cdr:relSizeAnchor>
  <cdr:relSizeAnchor xmlns:cdr="http://schemas.openxmlformats.org/drawingml/2006/chartDrawing">
    <cdr:from>
      <cdr:x>0.77951</cdr:x>
      <cdr:y>0.68761</cdr:y>
    </cdr:from>
    <cdr:to>
      <cdr:x>0.80029</cdr:x>
      <cdr:y>0.73517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E4BCE902-21DE-C09F-50BF-5689B354040E}"/>
            </a:ext>
          </a:extLst>
        </cdr:cNvPr>
        <cdr:cNvCxnSpPr/>
      </cdr:nvCxnSpPr>
      <cdr:spPr>
        <a:xfrm xmlns:a="http://schemas.openxmlformats.org/drawingml/2006/main" flipV="1">
          <a:off x="13235869" y="5483578"/>
          <a:ext cx="352777" cy="37923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2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133352</xdr:rowOff>
    </xdr:from>
    <xdr:to>
      <xdr:col>24</xdr:col>
      <xdr:colOff>14111</xdr:colOff>
      <xdr:row>45</xdr:row>
      <xdr:rowOff>1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4E9EAD11-8D63-64F0-9757-18A14677B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1323975</xdr:colOff>
      <xdr:row>5</xdr:row>
      <xdr:rowOff>184150</xdr:rowOff>
    </xdr:from>
    <xdr:to>
      <xdr:col>11</xdr:col>
      <xdr:colOff>939800</xdr:colOff>
      <xdr:row>40</xdr:row>
      <xdr:rowOff>63500</xdr:rowOff>
    </xdr:to>
    <xdr:graphicFrame macro="">
      <xdr:nvGraphicFramePr>
        <xdr:cNvPr id="129" name="Chart 2">
          <a:extLst>
            <a:ext uri="{FF2B5EF4-FFF2-40B4-BE49-F238E27FC236}">
              <a16:creationId xmlns:a16="http://schemas.microsoft.com/office/drawing/2014/main" id="{DCC1CA30-2E7A-2925-0919-AA1464162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76200</xdr:rowOff>
    </xdr:from>
    <xdr:to>
      <xdr:col>13</xdr:col>
      <xdr:colOff>50800</xdr:colOff>
      <xdr:row>31</xdr:row>
      <xdr:rowOff>88900</xdr:rowOff>
    </xdr:to>
    <xdr:graphicFrame macro="">
      <xdr:nvGraphicFramePr>
        <xdr:cNvPr id="68" name="Chart 62">
          <a:extLst>
            <a:ext uri="{FF2B5EF4-FFF2-40B4-BE49-F238E27FC236}">
              <a16:creationId xmlns:a16="http://schemas.microsoft.com/office/drawing/2014/main" id="{AF2DA081-2A39-C5A3-BE49-EDEB3AB56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660400</xdr:colOff>
      <xdr:row>7</xdr:row>
      <xdr:rowOff>101600</xdr:rowOff>
    </xdr:from>
    <xdr:to>
      <xdr:col>26</xdr:col>
      <xdr:colOff>292100</xdr:colOff>
      <xdr:row>40</xdr:row>
      <xdr:rowOff>215900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4438D-10E9-A062-30FE-55195B049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1447800</xdr:colOff>
      <xdr:row>12</xdr:row>
      <xdr:rowOff>177800</xdr:rowOff>
    </xdr:from>
    <xdr:to>
      <xdr:col>11</xdr:col>
      <xdr:colOff>736600</xdr:colOff>
      <xdr:row>17</xdr:row>
      <xdr:rowOff>127000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36E38D6-9318-FD0D-B43F-1FCF1A074E86}"/>
            </a:ext>
          </a:extLst>
        </xdr:cNvPr>
        <xdr:cNvCxnSpPr/>
      </xdr:nvCxnSpPr>
      <xdr:spPr>
        <a:xfrm flipV="1">
          <a:off x="8001000" y="2933700"/>
          <a:ext cx="2959100" cy="1092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0.25666</cdr:x>
      <cdr:y>0.1547</cdr:y>
    </cdr:from>
    <cdr:to>
      <cdr:x>0.44149</cdr:x>
      <cdr:y>0.40147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21D63607-FCEA-54C1-A64C-D925029535C2}"/>
            </a:ext>
          </a:extLst>
        </cdr:cNvPr>
        <cdr:cNvCxnSpPr/>
      </cdr:nvCxnSpPr>
      <cdr:spPr>
        <a:xfrm xmlns:a="http://schemas.openxmlformats.org/drawingml/2006/main">
          <a:off x="4038600" y="1066794"/>
          <a:ext cx="2908300" cy="17018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0.44875</cdr:x>
      <cdr:y>0.12155</cdr:y>
    </cdr:from>
    <cdr:to>
      <cdr:x>0.55367</cdr:x>
      <cdr:y>0.40884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95DD8B7-EB8B-514B-3B84-FBF6B2877A52}"/>
            </a:ext>
          </a:extLst>
        </cdr:cNvPr>
        <cdr:cNvCxnSpPr/>
      </cdr:nvCxnSpPr>
      <cdr:spPr>
        <a:xfrm xmlns:a="http://schemas.openxmlformats.org/drawingml/2006/main" flipV="1">
          <a:off x="7061200" y="838194"/>
          <a:ext cx="1651000" cy="19812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0.56497</cdr:x>
      <cdr:y>0.11234</cdr:y>
    </cdr:from>
    <cdr:to>
      <cdr:x>0.636</cdr:x>
      <cdr:y>0.30939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2C6FAF8D-DEB1-3157-CFC7-B4CA38F9EF5C}"/>
            </a:ext>
          </a:extLst>
        </cdr:cNvPr>
        <cdr:cNvCxnSpPr/>
      </cdr:nvCxnSpPr>
      <cdr:spPr>
        <a:xfrm xmlns:a="http://schemas.openxmlformats.org/drawingml/2006/main">
          <a:off x="8890000" y="774694"/>
          <a:ext cx="1117600" cy="1358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0.64326</cdr:x>
      <cdr:y>0.16206</cdr:y>
    </cdr:from>
    <cdr:to>
      <cdr:x>0.73366</cdr:x>
      <cdr:y>0.30203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E84E0855-B3AB-586A-303B-15D471475E80}"/>
            </a:ext>
          </a:extLst>
        </cdr:cNvPr>
        <cdr:cNvCxnSpPr/>
      </cdr:nvCxnSpPr>
      <cdr:spPr>
        <a:xfrm xmlns:a="http://schemas.openxmlformats.org/drawingml/2006/main" flipV="1">
          <a:off x="10121900" y="1117594"/>
          <a:ext cx="1422400" cy="9652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0.80145</cdr:x>
      <cdr:y>0.16943</cdr:y>
    </cdr:from>
    <cdr:to>
      <cdr:x>0.83858</cdr:x>
      <cdr:y>0.73849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809867B0-E267-2599-E0A6-C63507F1B16F}"/>
            </a:ext>
          </a:extLst>
        </cdr:cNvPr>
        <cdr:cNvCxnSpPr/>
      </cdr:nvCxnSpPr>
      <cdr:spPr>
        <a:xfrm xmlns:a="http://schemas.openxmlformats.org/drawingml/2006/main">
          <a:off x="12611100" y="1168394"/>
          <a:ext cx="584200" cy="39243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0.84504</cdr:x>
      <cdr:y>0.6151</cdr:y>
    </cdr:from>
    <cdr:to>
      <cdr:x>0.89104</cdr:x>
      <cdr:y>0.73665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73D81B0C-81A6-8D10-BF7A-882199469154}"/>
            </a:ext>
          </a:extLst>
        </cdr:cNvPr>
        <cdr:cNvCxnSpPr/>
      </cdr:nvCxnSpPr>
      <cdr:spPr>
        <a:xfrm xmlns:a="http://schemas.openxmlformats.org/drawingml/2006/main" flipV="1">
          <a:off x="13296900" y="4241794"/>
          <a:ext cx="723900" cy="8382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0.90315</cdr:x>
      <cdr:y>0.62063</cdr:y>
    </cdr:from>
    <cdr:to>
      <cdr:x>0.9661</cdr:x>
      <cdr:y>0.7035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38B236E9-2941-DA97-3980-C5CF903FEE19}"/>
            </a:ext>
          </a:extLst>
        </cdr:cNvPr>
        <cdr:cNvCxnSpPr/>
      </cdr:nvCxnSpPr>
      <cdr:spPr>
        <a:xfrm xmlns:a="http://schemas.openxmlformats.org/drawingml/2006/main">
          <a:off x="14211300" y="4279894"/>
          <a:ext cx="990600" cy="5715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35</xdr:row>
      <xdr:rowOff>139700</xdr:rowOff>
    </xdr:from>
    <xdr:to>
      <xdr:col>18</xdr:col>
      <xdr:colOff>50800</xdr:colOff>
      <xdr:row>66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2D93F-D8D9-1577-1A46-3B132B6CB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4</xdr:row>
      <xdr:rowOff>0</xdr:rowOff>
    </xdr:from>
    <xdr:to>
      <xdr:col>11</xdr:col>
      <xdr:colOff>508000</xdr:colOff>
      <xdr:row>33</xdr:row>
      <xdr:rowOff>63500</xdr:rowOff>
    </xdr:to>
    <xdr:graphicFrame macro="">
      <xdr:nvGraphicFramePr>
        <xdr:cNvPr id="96" name="Chart 2">
          <a:extLst>
            <a:ext uri="{FF2B5EF4-FFF2-40B4-BE49-F238E27FC236}">
              <a16:creationId xmlns:a16="http://schemas.microsoft.com/office/drawing/2014/main" id="{5DD31D2D-0467-A8E6-A092-0E7C4513D35F}"/>
            </a:ext>
            <a:ext uri="{147F2762-F138-4A5C-976F-8EAC2B608ADB}">
              <a16:predDERef xmlns:a16="http://schemas.microsoft.com/office/drawing/2014/main" pred="{6A62D93F-D8D9-1577-1A46-3B132B6CB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0.27428</cdr:x>
      <cdr:y>0.64838</cdr:y>
    </cdr:from>
    <cdr:to>
      <cdr:x>0.46278</cdr:x>
      <cdr:y>0.73921</cdr:y>
    </cdr:to>
    <cdr:sp macro="" textlink="">
      <cdr:nvSpPr>
        <cdr:cNvPr id="2" name="Snip Diagonal Corner Rectangle 1">
          <a:extLst xmlns:a="http://schemas.openxmlformats.org/drawingml/2006/main">
            <a:ext uri="{FF2B5EF4-FFF2-40B4-BE49-F238E27FC236}">
              <a16:creationId xmlns:a16="http://schemas.microsoft.com/office/drawing/2014/main" id="{DD0CD362-3841-4203-7B6D-2C4BCDD36660}"/>
            </a:ext>
          </a:extLst>
        </cdr:cNvPr>
        <cdr:cNvSpPr/>
      </cdr:nvSpPr>
      <cdr:spPr>
        <a:xfrm xmlns:a="http://schemas.openxmlformats.org/drawingml/2006/main">
          <a:off x="3448512" y="4578350"/>
          <a:ext cx="2370003" cy="641350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400" kern="1200">
              <a:solidFill>
                <a:schemeClr val="tx1"/>
              </a:solidFill>
            </a:rPr>
            <a:t>Buy 53x shares at $18.80 on 04/06/2024</a:t>
          </a:r>
        </a:p>
      </cdr:txBody>
    </cdr:sp>
  </cdr:relSizeAnchor>
  <cdr:relSizeAnchor xmlns:cdr="http://schemas.openxmlformats.org/drawingml/2006/chartDrawing">
    <cdr:from>
      <cdr:x>0.36853</cdr:x>
      <cdr:y>0.54682</cdr:y>
    </cdr:from>
    <cdr:to>
      <cdr:x>0.43677</cdr:x>
      <cdr:y>0.64838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45B2D000-E3E7-355E-C548-20F82CCAFF46}"/>
            </a:ext>
          </a:extLst>
        </cdr:cNvPr>
        <cdr:cNvCxnSpPr>
          <a:stCxn xmlns:a="http://schemas.openxmlformats.org/drawingml/2006/main" id="2" idx="3"/>
        </cdr:cNvCxnSpPr>
      </cdr:nvCxnSpPr>
      <cdr:spPr>
        <a:xfrm xmlns:a="http://schemas.openxmlformats.org/drawingml/2006/main" flipV="1">
          <a:off x="4633513" y="3861215"/>
          <a:ext cx="857987" cy="71713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0.6495</cdr:x>
      <cdr:y>0.08878</cdr:y>
    </cdr:from>
    <cdr:to>
      <cdr:x>0.91886</cdr:x>
      <cdr:y>0.15909</cdr:y>
    </cdr:to>
    <cdr:sp macro="" textlink="">
      <cdr:nvSpPr>
        <cdr:cNvPr id="6" name="Snip Diagonal Corner Rectangle 5">
          <a:extLst xmlns:a="http://schemas.openxmlformats.org/drawingml/2006/main">
            <a:ext uri="{FF2B5EF4-FFF2-40B4-BE49-F238E27FC236}">
              <a16:creationId xmlns:a16="http://schemas.microsoft.com/office/drawing/2014/main" id="{417993C2-C4BA-232C-2415-605A106CB903}"/>
            </a:ext>
          </a:extLst>
        </cdr:cNvPr>
        <cdr:cNvSpPr/>
      </cdr:nvSpPr>
      <cdr:spPr>
        <a:xfrm xmlns:a="http://schemas.openxmlformats.org/drawingml/2006/main">
          <a:off x="8166153" y="626924"/>
          <a:ext cx="3386664" cy="496473"/>
        </a:xfrm>
        <a:prstGeom xmlns:a="http://schemas.openxmlformats.org/drawingml/2006/main" prst="snip2DiagRect">
          <a:avLst/>
        </a:prstGeom>
        <a:solidFill xmlns:a="http://schemas.openxmlformats.org/drawingml/2006/main">
          <a:schemeClr val="accent6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kern="1200">
              <a:solidFill>
                <a:schemeClr val="tx1"/>
              </a:solidFill>
            </a:rPr>
            <a:t>Sell 53x shares at $23.01 on 23/07/2024</a:t>
          </a:r>
        </a:p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0.56662</cdr:x>
      <cdr:y>0.12394</cdr:y>
    </cdr:from>
    <cdr:to>
      <cdr:x>0.6495</cdr:x>
      <cdr:y>0.15649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FCD24C2A-8F4C-124C-C94A-F1381EBC1796}"/>
            </a:ext>
          </a:extLst>
        </cdr:cNvPr>
        <cdr:cNvCxnSpPr>
          <a:stCxn xmlns:a="http://schemas.openxmlformats.org/drawingml/2006/main" id="6" idx="2"/>
        </cdr:cNvCxnSpPr>
      </cdr:nvCxnSpPr>
      <cdr:spPr>
        <a:xfrm xmlns:a="http://schemas.openxmlformats.org/drawingml/2006/main" flipH="1">
          <a:off x="7124103" y="875196"/>
          <a:ext cx="1042050" cy="22984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758825</xdr:colOff>
      <xdr:row>49</xdr:row>
      <xdr:rowOff>111125</xdr:rowOff>
    </xdr:from>
    <xdr:to>
      <xdr:col>19</xdr:col>
      <xdr:colOff>431800</xdr:colOff>
      <xdr:row>90</xdr:row>
      <xdr:rowOff>76200</xdr:rowOff>
    </xdr:to>
    <xdr:graphicFrame macro="">
      <xdr:nvGraphicFramePr>
        <xdr:cNvPr id="220" name="Chart 2">
          <a:extLst>
            <a:ext uri="{FF2B5EF4-FFF2-40B4-BE49-F238E27FC236}">
              <a16:creationId xmlns:a16="http://schemas.microsoft.com/office/drawing/2014/main" id="{31126249-A158-6C42-9B6E-C2BC021C8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850900</xdr:colOff>
      <xdr:row>9</xdr:row>
      <xdr:rowOff>63500</xdr:rowOff>
    </xdr:from>
    <xdr:to>
      <xdr:col>19</xdr:col>
      <xdr:colOff>228600</xdr:colOff>
      <xdr:row>47</xdr:row>
      <xdr:rowOff>12700</xdr:rowOff>
    </xdr:to>
    <xdr:graphicFrame macro="">
      <xdr:nvGraphicFramePr>
        <xdr:cNvPr id="86" name="Chart 3">
          <a:extLst>
            <a:ext uri="{FF2B5EF4-FFF2-40B4-BE49-F238E27FC236}">
              <a16:creationId xmlns:a16="http://schemas.microsoft.com/office/drawing/2014/main" id="{2BC2583A-D766-29FF-DEA7-B8398A64074A}"/>
            </a:ext>
            <a:ext uri="{147F2762-F138-4A5C-976F-8EAC2B608ADB}">
              <a16:predDERef xmlns:a16="http://schemas.microsoft.com/office/drawing/2014/main" pred="{31126249-A158-6C42-9B6E-C2BC021C8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C398-D9D5-B641-BC99-63BA22501CE5}">
  <dimension ref="A1:M255"/>
  <sheetViews>
    <sheetView workbookViewId="0">
      <pane ySplit="1" topLeftCell="A2" activePane="bottomLeft" state="frozen"/>
      <selection pane="bottomLeft" activeCell="G255" sqref="G255"/>
    </sheetView>
  </sheetViews>
  <sheetFormatPr baseColWidth="10" defaultColWidth="11.5" defaultRowHeight="15" customHeight="1" x14ac:dyDescent="0.15"/>
  <cols>
    <col min="1" max="1" width="13.33203125" customWidth="1"/>
    <col min="2" max="2" width="29.6640625" bestFit="1" customWidth="1"/>
    <col min="3" max="3" width="16.6640625" style="1" customWidth="1"/>
    <col min="4" max="8" width="16.6640625" style="2" customWidth="1"/>
    <col min="9" max="9" width="25" style="2" customWidth="1"/>
    <col min="10" max="10" width="16.6640625" style="2" customWidth="1"/>
    <col min="11" max="11" width="12.83203125" bestFit="1" customWidth="1"/>
    <col min="12" max="12" width="14.5" bestFit="1" customWidth="1"/>
  </cols>
  <sheetData>
    <row r="1" spans="1:13" ht="15" customHeight="1" x14ac:dyDescent="0.2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6" t="s">
        <v>11</v>
      </c>
    </row>
    <row r="2" spans="1:13" ht="15" customHeight="1" x14ac:dyDescent="0.15">
      <c r="A2" t="s">
        <v>12</v>
      </c>
      <c r="B2" t="s">
        <v>13</v>
      </c>
      <c r="C2" s="1" t="s">
        <v>14</v>
      </c>
      <c r="D2" s="4">
        <v>20.32</v>
      </c>
      <c r="E2" s="4">
        <v>20.56</v>
      </c>
      <c r="F2" s="4">
        <v>20.22</v>
      </c>
      <c r="G2" s="4">
        <v>20.45</v>
      </c>
      <c r="H2" s="4">
        <v>318375</v>
      </c>
      <c r="I2" s="4">
        <v>4488.71</v>
      </c>
      <c r="J2" s="4">
        <v>219496767</v>
      </c>
      <c r="K2" s="4">
        <v>40</v>
      </c>
      <c r="L2" s="6">
        <f>COUNTBLANK(A1:J255)</f>
        <v>0</v>
      </c>
      <c r="M2" s="7"/>
    </row>
    <row r="3" spans="1:13" ht="15" customHeight="1" x14ac:dyDescent="0.15">
      <c r="A3" t="s">
        <v>12</v>
      </c>
      <c r="B3" t="s">
        <v>13</v>
      </c>
      <c r="C3" s="1" t="s">
        <v>15</v>
      </c>
      <c r="D3" s="4">
        <v>20.190000000000001</v>
      </c>
      <c r="E3" s="4">
        <v>20.36</v>
      </c>
      <c r="F3" s="4">
        <v>20.16</v>
      </c>
      <c r="G3" s="4">
        <v>20.32</v>
      </c>
      <c r="H3" s="4">
        <v>486861</v>
      </c>
      <c r="I3" s="4">
        <v>4460.17</v>
      </c>
      <c r="J3" s="4">
        <v>219496767</v>
      </c>
      <c r="L3" s="7"/>
      <c r="M3" s="7"/>
    </row>
    <row r="4" spans="1:13" ht="15" customHeight="1" x14ac:dyDescent="0.15">
      <c r="A4" t="s">
        <v>12</v>
      </c>
      <c r="B4" t="s">
        <v>13</v>
      </c>
      <c r="C4" s="1" t="s">
        <v>16</v>
      </c>
      <c r="D4" s="4">
        <v>20.21</v>
      </c>
      <c r="E4" s="4">
        <v>20.260000000000002</v>
      </c>
      <c r="F4" s="4">
        <v>19.88</v>
      </c>
      <c r="G4" s="4">
        <v>20.02</v>
      </c>
      <c r="H4" s="4">
        <v>556995</v>
      </c>
      <c r="I4" s="4">
        <v>4394.33</v>
      </c>
      <c r="J4" s="4">
        <v>219496767</v>
      </c>
    </row>
    <row r="5" spans="1:13" ht="15" customHeight="1" x14ac:dyDescent="0.15">
      <c r="A5" t="s">
        <v>12</v>
      </c>
      <c r="B5" t="s">
        <v>13</v>
      </c>
      <c r="C5" s="1" t="s">
        <v>17</v>
      </c>
      <c r="D5" s="4">
        <v>20.05</v>
      </c>
      <c r="E5" s="4">
        <v>20.09</v>
      </c>
      <c r="F5" s="4">
        <v>19.920000000000002</v>
      </c>
      <c r="G5" s="4">
        <v>19.98</v>
      </c>
      <c r="H5" s="4">
        <v>278345</v>
      </c>
      <c r="I5" s="4">
        <v>4385.55</v>
      </c>
      <c r="J5" s="4">
        <v>219496767</v>
      </c>
    </row>
    <row r="6" spans="1:13" ht="15" customHeight="1" x14ac:dyDescent="0.15">
      <c r="A6" t="s">
        <v>12</v>
      </c>
      <c r="B6" t="s">
        <v>13</v>
      </c>
      <c r="C6" s="1" t="s">
        <v>18</v>
      </c>
      <c r="D6" s="4">
        <v>19.989999999999998</v>
      </c>
      <c r="E6" s="4">
        <v>20.079999999999998</v>
      </c>
      <c r="F6" s="4">
        <v>19.71</v>
      </c>
      <c r="G6" s="4">
        <v>19.86</v>
      </c>
      <c r="H6" s="4">
        <v>319034</v>
      </c>
      <c r="I6" s="4">
        <v>4359.7700000000004</v>
      </c>
      <c r="J6" s="4">
        <v>219525079</v>
      </c>
    </row>
    <row r="7" spans="1:13" ht="15" customHeight="1" x14ac:dyDescent="0.15">
      <c r="A7" t="s">
        <v>12</v>
      </c>
      <c r="B7" t="s">
        <v>13</v>
      </c>
      <c r="C7" s="1" t="s">
        <v>19</v>
      </c>
      <c r="D7" s="4">
        <v>20.079999999999998</v>
      </c>
      <c r="E7" s="4">
        <v>20.39</v>
      </c>
      <c r="F7" s="4">
        <v>19.989999999999998</v>
      </c>
      <c r="G7" s="4">
        <v>20.39</v>
      </c>
      <c r="H7" s="4">
        <v>409517</v>
      </c>
      <c r="I7" s="4">
        <v>4476.12</v>
      </c>
      <c r="J7" s="4">
        <v>219525079</v>
      </c>
    </row>
    <row r="8" spans="1:13" ht="15" customHeight="1" x14ac:dyDescent="0.15">
      <c r="A8" t="s">
        <v>12</v>
      </c>
      <c r="B8" t="s">
        <v>13</v>
      </c>
      <c r="C8" s="1" t="s">
        <v>20</v>
      </c>
      <c r="D8" s="4">
        <v>20.28</v>
      </c>
      <c r="E8" s="4">
        <v>20.7</v>
      </c>
      <c r="F8" s="4">
        <v>20</v>
      </c>
      <c r="G8" s="4">
        <v>20.56</v>
      </c>
      <c r="H8" s="4">
        <v>596294</v>
      </c>
      <c r="I8" s="4">
        <v>4513.4399999999996</v>
      </c>
      <c r="J8" s="4">
        <v>219525079</v>
      </c>
    </row>
    <row r="9" spans="1:13" ht="15" customHeight="1" x14ac:dyDescent="0.15">
      <c r="A9" t="s">
        <v>12</v>
      </c>
      <c r="B9" t="s">
        <v>13</v>
      </c>
      <c r="C9" s="1" t="s">
        <v>21</v>
      </c>
      <c r="D9" s="4">
        <v>20.66</v>
      </c>
      <c r="E9" s="4">
        <v>20.73</v>
      </c>
      <c r="F9" s="4">
        <v>20.56</v>
      </c>
      <c r="G9" s="4">
        <v>20.7</v>
      </c>
      <c r="H9" s="4">
        <v>661417</v>
      </c>
      <c r="I9" s="4">
        <v>4544.17</v>
      </c>
      <c r="J9" s="4">
        <v>219525079</v>
      </c>
    </row>
    <row r="10" spans="1:13" ht="15" customHeight="1" x14ac:dyDescent="0.15">
      <c r="A10" t="s">
        <v>12</v>
      </c>
      <c r="B10" t="s">
        <v>13</v>
      </c>
      <c r="C10" s="1" t="s">
        <v>22</v>
      </c>
      <c r="D10" s="4">
        <v>20.54</v>
      </c>
      <c r="E10" s="4">
        <v>20.59</v>
      </c>
      <c r="F10" s="4">
        <v>20.350000000000001</v>
      </c>
      <c r="G10" s="4">
        <v>20.43</v>
      </c>
      <c r="H10" s="4">
        <v>992725</v>
      </c>
      <c r="I10" s="4">
        <v>4484.8999999999996</v>
      </c>
      <c r="J10" s="4">
        <v>219525079</v>
      </c>
    </row>
    <row r="11" spans="1:13" ht="15" customHeight="1" x14ac:dyDescent="0.15">
      <c r="A11" t="s">
        <v>12</v>
      </c>
      <c r="B11" t="s">
        <v>13</v>
      </c>
      <c r="C11" s="1" t="s">
        <v>23</v>
      </c>
      <c r="D11" s="4">
        <v>20.309999999999999</v>
      </c>
      <c r="E11" s="4">
        <v>20.66</v>
      </c>
      <c r="F11" s="4">
        <v>20.29</v>
      </c>
      <c r="G11" s="4">
        <v>20.55</v>
      </c>
      <c r="H11" s="4">
        <v>336200</v>
      </c>
      <c r="I11" s="4">
        <v>4511.24</v>
      </c>
      <c r="J11" s="4">
        <v>219525079</v>
      </c>
    </row>
    <row r="12" spans="1:13" ht="15" customHeight="1" x14ac:dyDescent="0.15">
      <c r="A12" t="s">
        <v>12</v>
      </c>
      <c r="B12" t="s">
        <v>13</v>
      </c>
      <c r="C12" s="1" t="s">
        <v>24</v>
      </c>
      <c r="D12" s="4">
        <v>20.59</v>
      </c>
      <c r="E12" s="4">
        <v>20.65</v>
      </c>
      <c r="F12" s="4">
        <v>20.420000000000002</v>
      </c>
      <c r="G12" s="4">
        <v>20.55</v>
      </c>
      <c r="H12" s="4">
        <v>383641</v>
      </c>
      <c r="I12" s="4">
        <v>4511.24</v>
      </c>
      <c r="J12" s="4">
        <v>219525079</v>
      </c>
    </row>
    <row r="13" spans="1:13" ht="15" customHeight="1" x14ac:dyDescent="0.15">
      <c r="A13" t="s">
        <v>12</v>
      </c>
      <c r="B13" t="s">
        <v>13</v>
      </c>
      <c r="C13" s="1" t="s">
        <v>25</v>
      </c>
      <c r="D13" s="4">
        <v>20.55</v>
      </c>
      <c r="E13" s="4">
        <v>20.58</v>
      </c>
      <c r="F13" s="4">
        <v>20.37</v>
      </c>
      <c r="G13" s="4">
        <v>20.5</v>
      </c>
      <c r="H13" s="4">
        <v>564314</v>
      </c>
      <c r="I13" s="4">
        <v>4500.26</v>
      </c>
      <c r="J13" s="4">
        <v>219525079</v>
      </c>
    </row>
    <row r="14" spans="1:13" ht="15" customHeight="1" x14ac:dyDescent="0.15">
      <c r="A14" t="s">
        <v>12</v>
      </c>
      <c r="B14" t="s">
        <v>13</v>
      </c>
      <c r="C14" s="1" t="s">
        <v>26</v>
      </c>
      <c r="D14" s="4">
        <v>20.46</v>
      </c>
      <c r="E14" s="4">
        <v>20.64</v>
      </c>
      <c r="F14" s="4">
        <v>20.41</v>
      </c>
      <c r="G14" s="4">
        <v>20.63</v>
      </c>
      <c r="H14" s="4">
        <v>538674</v>
      </c>
      <c r="I14" s="4">
        <v>4528.8</v>
      </c>
      <c r="J14" s="4">
        <v>219525079</v>
      </c>
    </row>
    <row r="15" spans="1:13" ht="15" customHeight="1" x14ac:dyDescent="0.15">
      <c r="A15" t="s">
        <v>12</v>
      </c>
      <c r="B15" t="s">
        <v>13</v>
      </c>
      <c r="C15" s="1" t="s">
        <v>27</v>
      </c>
      <c r="D15" s="4">
        <v>20.9</v>
      </c>
      <c r="E15" s="4">
        <v>21.06</v>
      </c>
      <c r="F15" s="4">
        <v>20.75</v>
      </c>
      <c r="G15" s="4">
        <v>21.03</v>
      </c>
      <c r="H15" s="4">
        <v>875464</v>
      </c>
      <c r="I15" s="4">
        <v>4616.6099999999997</v>
      </c>
      <c r="J15" s="4">
        <v>219525079</v>
      </c>
    </row>
    <row r="16" spans="1:13" ht="15" customHeight="1" x14ac:dyDescent="0.15">
      <c r="A16" t="s">
        <v>12</v>
      </c>
      <c r="B16" t="s">
        <v>13</v>
      </c>
      <c r="C16" s="1" t="s">
        <v>28</v>
      </c>
      <c r="D16" s="4">
        <v>21.07</v>
      </c>
      <c r="E16" s="4">
        <v>21.21</v>
      </c>
      <c r="F16" s="4">
        <v>20.89</v>
      </c>
      <c r="G16" s="4">
        <v>21.15</v>
      </c>
      <c r="H16" s="4">
        <v>437343</v>
      </c>
      <c r="I16" s="4">
        <v>4642.96</v>
      </c>
      <c r="J16" s="4">
        <v>219525079</v>
      </c>
    </row>
    <row r="17" spans="1:10" ht="15" customHeight="1" x14ac:dyDescent="0.15">
      <c r="A17" t="s">
        <v>12</v>
      </c>
      <c r="B17" t="s">
        <v>13</v>
      </c>
      <c r="C17" s="1" t="s">
        <v>29</v>
      </c>
      <c r="D17" s="4">
        <v>21.14</v>
      </c>
      <c r="E17" s="4">
        <v>21.14</v>
      </c>
      <c r="F17" s="4">
        <v>20.88</v>
      </c>
      <c r="G17" s="4">
        <v>21.08</v>
      </c>
      <c r="H17" s="4">
        <v>541591</v>
      </c>
      <c r="I17" s="4">
        <v>4627.59</v>
      </c>
      <c r="J17" s="4">
        <v>219525079</v>
      </c>
    </row>
    <row r="18" spans="1:10" ht="15" customHeight="1" x14ac:dyDescent="0.15">
      <c r="A18" t="s">
        <v>12</v>
      </c>
      <c r="B18" t="s">
        <v>13</v>
      </c>
      <c r="C18" s="1" t="s">
        <v>30</v>
      </c>
      <c r="D18" s="4">
        <v>21.05</v>
      </c>
      <c r="E18" s="4">
        <v>21.05</v>
      </c>
      <c r="F18" s="4">
        <v>20.81</v>
      </c>
      <c r="G18" s="4">
        <v>21.04</v>
      </c>
      <c r="H18" s="4">
        <v>377108</v>
      </c>
      <c r="I18" s="4">
        <v>4618.8100000000004</v>
      </c>
      <c r="J18" s="4">
        <v>219525079</v>
      </c>
    </row>
    <row r="19" spans="1:10" ht="15" customHeight="1" x14ac:dyDescent="0.15">
      <c r="A19" t="s">
        <v>12</v>
      </c>
      <c r="B19" t="s">
        <v>13</v>
      </c>
      <c r="C19" s="1" t="s">
        <v>31</v>
      </c>
      <c r="D19" s="4">
        <v>21.11</v>
      </c>
      <c r="E19" s="4">
        <v>21.11</v>
      </c>
      <c r="F19" s="4">
        <v>20.82</v>
      </c>
      <c r="G19" s="4">
        <v>21.01</v>
      </c>
      <c r="H19" s="4">
        <v>330863</v>
      </c>
      <c r="I19" s="4">
        <v>4612.22</v>
      </c>
      <c r="J19" s="4">
        <v>219525079</v>
      </c>
    </row>
    <row r="20" spans="1:10" ht="15" customHeight="1" x14ac:dyDescent="0.15">
      <c r="A20" t="s">
        <v>12</v>
      </c>
      <c r="B20" t="s">
        <v>13</v>
      </c>
      <c r="C20" s="1" t="s">
        <v>32</v>
      </c>
      <c r="D20" s="4">
        <v>20.97</v>
      </c>
      <c r="E20" s="4">
        <v>21.19</v>
      </c>
      <c r="F20" s="4">
        <v>20.85</v>
      </c>
      <c r="G20" s="4">
        <v>21.18</v>
      </c>
      <c r="H20" s="4">
        <v>636085</v>
      </c>
      <c r="I20" s="4">
        <v>4649.54</v>
      </c>
      <c r="J20" s="4">
        <v>219525079</v>
      </c>
    </row>
    <row r="21" spans="1:10" ht="15" customHeight="1" x14ac:dyDescent="0.15">
      <c r="A21" t="s">
        <v>12</v>
      </c>
      <c r="B21" t="s">
        <v>13</v>
      </c>
      <c r="C21" s="1" t="s">
        <v>33</v>
      </c>
      <c r="D21" s="4">
        <v>21.19</v>
      </c>
      <c r="E21" s="4">
        <v>21.43</v>
      </c>
      <c r="F21" s="4">
        <v>20.9</v>
      </c>
      <c r="G21" s="4">
        <v>21.04</v>
      </c>
      <c r="H21" s="4">
        <v>735780</v>
      </c>
      <c r="I21" s="4">
        <v>4618.8100000000004</v>
      </c>
      <c r="J21" s="4">
        <v>219525079</v>
      </c>
    </row>
    <row r="22" spans="1:10" ht="15" customHeight="1" x14ac:dyDescent="0.15">
      <c r="A22" t="s">
        <v>12</v>
      </c>
      <c r="B22" t="s">
        <v>13</v>
      </c>
      <c r="C22" s="1" t="s">
        <v>34</v>
      </c>
      <c r="D22" s="4">
        <v>21.04</v>
      </c>
      <c r="E22" s="4">
        <v>21.29</v>
      </c>
      <c r="F22" s="4">
        <v>20.86</v>
      </c>
      <c r="G22" s="4">
        <v>21.29</v>
      </c>
      <c r="H22" s="4">
        <v>672594</v>
      </c>
      <c r="I22" s="4">
        <v>4673.6899999999996</v>
      </c>
      <c r="J22" s="4">
        <v>219525079</v>
      </c>
    </row>
    <row r="23" spans="1:10" ht="15" customHeight="1" x14ac:dyDescent="0.15">
      <c r="A23" t="s">
        <v>12</v>
      </c>
      <c r="B23" t="s">
        <v>13</v>
      </c>
      <c r="C23" s="1" t="s">
        <v>35</v>
      </c>
      <c r="D23" s="4">
        <v>21.24</v>
      </c>
      <c r="E23" s="4">
        <v>21.29</v>
      </c>
      <c r="F23" s="4">
        <v>20.875</v>
      </c>
      <c r="G23" s="4">
        <v>21.29</v>
      </c>
      <c r="H23" s="4">
        <v>638630</v>
      </c>
      <c r="I23" s="4">
        <v>4673.6899999999996</v>
      </c>
      <c r="J23" s="4">
        <v>219525079</v>
      </c>
    </row>
    <row r="24" spans="1:10" ht="15" customHeight="1" x14ac:dyDescent="0.15">
      <c r="A24" t="s">
        <v>12</v>
      </c>
      <c r="B24" t="s">
        <v>13</v>
      </c>
      <c r="C24" s="1" t="s">
        <v>36</v>
      </c>
      <c r="D24" s="4">
        <v>21.39</v>
      </c>
      <c r="E24" s="4">
        <v>21.58</v>
      </c>
      <c r="F24" s="4">
        <v>20.93</v>
      </c>
      <c r="G24" s="4">
        <v>21.57</v>
      </c>
      <c r="H24" s="4">
        <v>945534</v>
      </c>
      <c r="I24" s="4">
        <v>4735.16</v>
      </c>
      <c r="J24" s="4">
        <v>219525079</v>
      </c>
    </row>
    <row r="25" spans="1:10" ht="15" customHeight="1" x14ac:dyDescent="0.15">
      <c r="A25" t="s">
        <v>12</v>
      </c>
      <c r="B25" t="s">
        <v>13</v>
      </c>
      <c r="C25" s="1" t="s">
        <v>37</v>
      </c>
      <c r="D25" s="4">
        <v>21.55</v>
      </c>
      <c r="E25" s="4">
        <v>21.62</v>
      </c>
      <c r="F25" s="4">
        <v>21.31</v>
      </c>
      <c r="G25" s="4">
        <v>21.6</v>
      </c>
      <c r="H25" s="4">
        <v>494964</v>
      </c>
      <c r="I25" s="4">
        <v>4741.74</v>
      </c>
      <c r="J25" s="4">
        <v>219525079</v>
      </c>
    </row>
    <row r="26" spans="1:10" ht="15" customHeight="1" x14ac:dyDescent="0.15">
      <c r="A26" t="s">
        <v>12</v>
      </c>
      <c r="B26" t="s">
        <v>13</v>
      </c>
      <c r="C26" s="1" t="s">
        <v>38</v>
      </c>
      <c r="D26" s="4">
        <v>21.49</v>
      </c>
      <c r="E26" s="4">
        <v>21.78</v>
      </c>
      <c r="F26" s="4">
        <v>21.38</v>
      </c>
      <c r="G26" s="4">
        <v>21.78</v>
      </c>
      <c r="H26" s="4">
        <v>438805</v>
      </c>
      <c r="I26" s="4">
        <v>4781.26</v>
      </c>
      <c r="J26" s="4">
        <v>219525079</v>
      </c>
    </row>
    <row r="27" spans="1:10" ht="15" customHeight="1" x14ac:dyDescent="0.15">
      <c r="A27" t="s">
        <v>12</v>
      </c>
      <c r="B27" t="s">
        <v>13</v>
      </c>
      <c r="C27" s="1" t="s">
        <v>39</v>
      </c>
      <c r="D27" s="4">
        <v>21.78</v>
      </c>
      <c r="E27" s="4">
        <v>21.87</v>
      </c>
      <c r="F27" s="4">
        <v>21.7</v>
      </c>
      <c r="G27" s="4">
        <v>21.85</v>
      </c>
      <c r="H27" s="4">
        <v>667977</v>
      </c>
      <c r="I27" s="4">
        <v>4797.34</v>
      </c>
      <c r="J27" s="4">
        <v>219557921</v>
      </c>
    </row>
    <row r="28" spans="1:10" ht="15" customHeight="1" x14ac:dyDescent="0.15">
      <c r="A28" t="s">
        <v>12</v>
      </c>
      <c r="B28" t="s">
        <v>13</v>
      </c>
      <c r="C28" s="1" t="s">
        <v>40</v>
      </c>
      <c r="D28" s="4">
        <v>21.86</v>
      </c>
      <c r="E28" s="4">
        <v>21.95</v>
      </c>
      <c r="F28" s="4">
        <v>21.58</v>
      </c>
      <c r="G28" s="4">
        <v>21.73</v>
      </c>
      <c r="H28" s="4">
        <v>707464</v>
      </c>
      <c r="I28" s="4">
        <v>4770.99</v>
      </c>
      <c r="J28" s="4">
        <v>219557921</v>
      </c>
    </row>
    <row r="29" spans="1:10" ht="15" customHeight="1" x14ac:dyDescent="0.15">
      <c r="A29" t="s">
        <v>12</v>
      </c>
      <c r="B29" t="s">
        <v>13</v>
      </c>
      <c r="C29" s="1" t="s">
        <v>41</v>
      </c>
      <c r="D29" s="4">
        <v>21.63</v>
      </c>
      <c r="E29" s="4">
        <v>21.73</v>
      </c>
      <c r="F29" s="4">
        <v>21.43</v>
      </c>
      <c r="G29" s="4">
        <v>21.56</v>
      </c>
      <c r="H29" s="4">
        <v>319291</v>
      </c>
      <c r="I29" s="4">
        <v>4733.67</v>
      </c>
      <c r="J29" s="4">
        <v>219557921</v>
      </c>
    </row>
    <row r="30" spans="1:10" ht="15" customHeight="1" x14ac:dyDescent="0.15">
      <c r="A30" t="s">
        <v>12</v>
      </c>
      <c r="B30" t="s">
        <v>13</v>
      </c>
      <c r="C30" s="1" t="s">
        <v>42</v>
      </c>
      <c r="D30" s="4">
        <v>21.6</v>
      </c>
      <c r="E30" s="4">
        <v>21.7</v>
      </c>
      <c r="F30" s="4">
        <v>21.4</v>
      </c>
      <c r="G30" s="4">
        <v>21.48</v>
      </c>
      <c r="H30" s="4">
        <v>250349</v>
      </c>
      <c r="I30" s="4">
        <v>4716.1000000000004</v>
      </c>
      <c r="J30" s="4">
        <v>219557921</v>
      </c>
    </row>
    <row r="31" spans="1:10" ht="15" customHeight="1" x14ac:dyDescent="0.15">
      <c r="A31" t="s">
        <v>12</v>
      </c>
      <c r="B31" t="s">
        <v>13</v>
      </c>
      <c r="C31" s="1" t="s">
        <v>43</v>
      </c>
      <c r="D31" s="4">
        <v>21.45</v>
      </c>
      <c r="E31" s="4">
        <v>21.48</v>
      </c>
      <c r="F31" s="4">
        <v>21.23</v>
      </c>
      <c r="G31" s="4">
        <v>21.37</v>
      </c>
      <c r="H31" s="4">
        <v>416375</v>
      </c>
      <c r="I31" s="4">
        <v>4691.95</v>
      </c>
      <c r="J31" s="4">
        <v>219557921</v>
      </c>
    </row>
    <row r="32" spans="1:10" ht="15" customHeight="1" x14ac:dyDescent="0.15">
      <c r="A32" t="s">
        <v>12</v>
      </c>
      <c r="B32" t="s">
        <v>13</v>
      </c>
      <c r="C32" s="1" t="s">
        <v>44</v>
      </c>
      <c r="D32" s="4">
        <v>21.2</v>
      </c>
      <c r="E32" s="4">
        <v>21.37</v>
      </c>
      <c r="F32" s="4">
        <v>21.04</v>
      </c>
      <c r="G32" s="4">
        <v>21.37</v>
      </c>
      <c r="H32" s="4">
        <v>401944</v>
      </c>
      <c r="I32" s="4">
        <v>4691.95</v>
      </c>
      <c r="J32" s="4">
        <v>219557921</v>
      </c>
    </row>
    <row r="33" spans="1:10" ht="15" customHeight="1" x14ac:dyDescent="0.15">
      <c r="A33" t="s">
        <v>12</v>
      </c>
      <c r="B33" t="s">
        <v>13</v>
      </c>
      <c r="C33" s="1" t="s">
        <v>45</v>
      </c>
      <c r="D33" s="4">
        <v>21.45</v>
      </c>
      <c r="E33" s="4">
        <v>21.84</v>
      </c>
      <c r="F33" s="4">
        <v>21.41</v>
      </c>
      <c r="G33" s="4">
        <v>21.77</v>
      </c>
      <c r="H33" s="4">
        <v>677311</v>
      </c>
      <c r="I33" s="4">
        <v>4779.78</v>
      </c>
      <c r="J33" s="4">
        <v>219557921</v>
      </c>
    </row>
    <row r="34" spans="1:10" ht="15" customHeight="1" x14ac:dyDescent="0.15">
      <c r="A34" t="s">
        <v>12</v>
      </c>
      <c r="B34" t="s">
        <v>13</v>
      </c>
      <c r="C34" s="1" t="s">
        <v>46</v>
      </c>
      <c r="D34" s="4">
        <v>21.84</v>
      </c>
      <c r="E34" s="4">
        <v>21.88</v>
      </c>
      <c r="F34" s="4">
        <v>21.55</v>
      </c>
      <c r="G34" s="4">
        <v>21.73</v>
      </c>
      <c r="H34" s="4">
        <v>915424</v>
      </c>
      <c r="I34" s="4">
        <v>4770.99</v>
      </c>
      <c r="J34" s="4">
        <v>219557921</v>
      </c>
    </row>
    <row r="35" spans="1:10" ht="15" customHeight="1" x14ac:dyDescent="0.15">
      <c r="A35" t="s">
        <v>12</v>
      </c>
      <c r="B35" t="s">
        <v>13</v>
      </c>
      <c r="C35" s="1" t="s">
        <v>47</v>
      </c>
      <c r="D35" s="4">
        <v>21.64</v>
      </c>
      <c r="E35" s="4">
        <v>21.72</v>
      </c>
      <c r="F35" s="4">
        <v>21.44</v>
      </c>
      <c r="G35" s="4">
        <v>21.7</v>
      </c>
      <c r="H35" s="4">
        <v>1164179</v>
      </c>
      <c r="I35" s="4">
        <v>4764.41</v>
      </c>
      <c r="J35" s="4">
        <v>219557921</v>
      </c>
    </row>
    <row r="36" spans="1:10" ht="15" customHeight="1" x14ac:dyDescent="0.15">
      <c r="A36" t="s">
        <v>12</v>
      </c>
      <c r="B36" t="s">
        <v>13</v>
      </c>
      <c r="C36" s="1" t="s">
        <v>48</v>
      </c>
      <c r="D36" s="4">
        <v>21.65</v>
      </c>
      <c r="E36" s="4">
        <v>21.82</v>
      </c>
      <c r="F36" s="4">
        <v>21.48</v>
      </c>
      <c r="G36" s="4">
        <v>21.73</v>
      </c>
      <c r="H36" s="4">
        <v>638221</v>
      </c>
      <c r="I36" s="4">
        <v>4770.99</v>
      </c>
      <c r="J36" s="4">
        <v>219557921</v>
      </c>
    </row>
    <row r="37" spans="1:10" ht="15" customHeight="1" x14ac:dyDescent="0.15">
      <c r="A37" t="s">
        <v>12</v>
      </c>
      <c r="B37" t="s">
        <v>13</v>
      </c>
      <c r="C37" s="1" t="s">
        <v>49</v>
      </c>
      <c r="D37" s="4">
        <v>21.5</v>
      </c>
      <c r="E37" s="4">
        <v>21.6</v>
      </c>
      <c r="F37" s="4">
        <v>21.16</v>
      </c>
      <c r="G37" s="4">
        <v>21.31</v>
      </c>
      <c r="H37" s="4">
        <v>1317362</v>
      </c>
      <c r="I37" s="4">
        <v>4678.78</v>
      </c>
      <c r="J37" s="4">
        <v>219557921</v>
      </c>
    </row>
    <row r="38" spans="1:10" ht="15" customHeight="1" x14ac:dyDescent="0.15">
      <c r="A38" t="s">
        <v>12</v>
      </c>
      <c r="B38" t="s">
        <v>13</v>
      </c>
      <c r="C38" s="1" t="s">
        <v>50</v>
      </c>
      <c r="D38" s="4">
        <v>21.2</v>
      </c>
      <c r="E38" s="4">
        <v>21.64</v>
      </c>
      <c r="F38" s="4">
        <v>21.15</v>
      </c>
      <c r="G38" s="4">
        <v>21.55</v>
      </c>
      <c r="H38" s="4">
        <v>734129</v>
      </c>
      <c r="I38" s="4">
        <v>4731.47</v>
      </c>
      <c r="J38" s="4">
        <v>219557921</v>
      </c>
    </row>
    <row r="39" spans="1:10" ht="15" customHeight="1" x14ac:dyDescent="0.15">
      <c r="A39" t="s">
        <v>12</v>
      </c>
      <c r="B39" t="s">
        <v>13</v>
      </c>
      <c r="C39" s="1" t="s">
        <v>51</v>
      </c>
      <c r="D39" s="4">
        <v>21.5</v>
      </c>
      <c r="E39" s="4">
        <v>21.84</v>
      </c>
      <c r="F39" s="4">
        <v>21.4</v>
      </c>
      <c r="G39" s="4">
        <v>21.82</v>
      </c>
      <c r="H39" s="4">
        <v>842911</v>
      </c>
      <c r="I39" s="4">
        <v>4790.75</v>
      </c>
      <c r="J39" s="4">
        <v>219557921</v>
      </c>
    </row>
    <row r="40" spans="1:10" ht="15" customHeight="1" x14ac:dyDescent="0.15">
      <c r="A40" t="s">
        <v>12</v>
      </c>
      <c r="B40" t="s">
        <v>13</v>
      </c>
      <c r="C40" s="1" t="s">
        <v>52</v>
      </c>
      <c r="D40" s="4">
        <v>21.83</v>
      </c>
      <c r="E40" s="4">
        <v>21.93</v>
      </c>
      <c r="F40" s="4">
        <v>21.09</v>
      </c>
      <c r="G40" s="4">
        <v>21.34</v>
      </c>
      <c r="H40" s="4">
        <v>770535</v>
      </c>
      <c r="I40" s="4">
        <v>4685.37</v>
      </c>
      <c r="J40" s="4">
        <v>219557921</v>
      </c>
    </row>
    <row r="41" spans="1:10" ht="15" customHeight="1" x14ac:dyDescent="0.15">
      <c r="A41" t="s">
        <v>12</v>
      </c>
      <c r="B41" t="s">
        <v>13</v>
      </c>
      <c r="C41" s="1" t="s">
        <v>53</v>
      </c>
      <c r="D41" s="4">
        <v>21.34</v>
      </c>
      <c r="E41" s="4">
        <v>21.73</v>
      </c>
      <c r="F41" s="4">
        <v>21.12</v>
      </c>
      <c r="G41" s="4">
        <v>21.73</v>
      </c>
      <c r="H41" s="4">
        <v>1180856</v>
      </c>
      <c r="I41" s="4">
        <v>4770.99</v>
      </c>
      <c r="J41" s="4">
        <v>219557921</v>
      </c>
    </row>
    <row r="42" spans="1:10" ht="15" customHeight="1" x14ac:dyDescent="0.15">
      <c r="A42" t="s">
        <v>12</v>
      </c>
      <c r="B42" t="s">
        <v>13</v>
      </c>
      <c r="C42" s="1" t="s">
        <v>54</v>
      </c>
      <c r="D42" s="4">
        <v>21.36</v>
      </c>
      <c r="E42" s="4">
        <v>21.43</v>
      </c>
      <c r="F42" s="4">
        <v>19.88</v>
      </c>
      <c r="G42" s="4">
        <v>20.89</v>
      </c>
      <c r="H42" s="4">
        <v>3551302</v>
      </c>
      <c r="I42" s="4">
        <v>4586.5600000000004</v>
      </c>
      <c r="J42" s="4">
        <v>219557921</v>
      </c>
    </row>
    <row r="43" spans="1:10" ht="15" customHeight="1" x14ac:dyDescent="0.15">
      <c r="A43" t="s">
        <v>12</v>
      </c>
      <c r="B43" t="s">
        <v>13</v>
      </c>
      <c r="C43" s="1" t="s">
        <v>55</v>
      </c>
      <c r="D43" s="4">
        <v>20.65</v>
      </c>
      <c r="E43" s="4">
        <v>21.64</v>
      </c>
      <c r="F43" s="4">
        <v>20.6</v>
      </c>
      <c r="G43" s="4">
        <v>21.41</v>
      </c>
      <c r="H43" s="4">
        <v>2472807</v>
      </c>
      <c r="I43" s="4">
        <v>4700.74</v>
      </c>
      <c r="J43" s="4">
        <v>219557921</v>
      </c>
    </row>
    <row r="44" spans="1:10" ht="15" customHeight="1" x14ac:dyDescent="0.15">
      <c r="A44" t="s">
        <v>12</v>
      </c>
      <c r="B44" t="s">
        <v>13</v>
      </c>
      <c r="C44" s="1" t="s">
        <v>56</v>
      </c>
      <c r="D44" s="4">
        <v>21.25</v>
      </c>
      <c r="E44" s="4">
        <v>21.93</v>
      </c>
      <c r="F44" s="4">
        <v>21.24</v>
      </c>
      <c r="G44" s="4">
        <v>21.82</v>
      </c>
      <c r="H44" s="4">
        <v>1557158</v>
      </c>
      <c r="I44" s="4">
        <v>4790.75</v>
      </c>
      <c r="J44" s="4">
        <v>219557921</v>
      </c>
    </row>
    <row r="45" spans="1:10" ht="15" customHeight="1" x14ac:dyDescent="0.15">
      <c r="A45" t="s">
        <v>12</v>
      </c>
      <c r="B45" t="s">
        <v>13</v>
      </c>
      <c r="C45" s="1" t="s">
        <v>57</v>
      </c>
      <c r="D45" s="4">
        <v>21.2</v>
      </c>
      <c r="E45" s="4">
        <v>21.57</v>
      </c>
      <c r="F45" s="4">
        <v>21.09</v>
      </c>
      <c r="G45" s="4">
        <v>21.09</v>
      </c>
      <c r="H45" s="4">
        <v>1274832</v>
      </c>
      <c r="I45" s="4">
        <v>4630.4799999999996</v>
      </c>
      <c r="J45" s="4">
        <v>219557921</v>
      </c>
    </row>
    <row r="46" spans="1:10" ht="15" customHeight="1" x14ac:dyDescent="0.15">
      <c r="A46" t="s">
        <v>12</v>
      </c>
      <c r="B46" t="s">
        <v>13</v>
      </c>
      <c r="C46" s="1" t="s">
        <v>58</v>
      </c>
      <c r="D46" s="4">
        <v>20.76</v>
      </c>
      <c r="E46" s="4">
        <v>21.23</v>
      </c>
      <c r="F46" s="4">
        <v>20.5</v>
      </c>
      <c r="G46" s="4">
        <v>20.53</v>
      </c>
      <c r="H46" s="4">
        <v>1265085</v>
      </c>
      <c r="I46" s="4">
        <v>4507.5200000000004</v>
      </c>
      <c r="J46" s="4">
        <v>219557921</v>
      </c>
    </row>
    <row r="47" spans="1:10" ht="15" customHeight="1" x14ac:dyDescent="0.15">
      <c r="A47" t="s">
        <v>12</v>
      </c>
      <c r="B47" t="s">
        <v>13</v>
      </c>
      <c r="C47" s="1" t="s">
        <v>59</v>
      </c>
      <c r="D47" s="4">
        <v>20.55</v>
      </c>
      <c r="E47" s="4">
        <v>20.88</v>
      </c>
      <c r="F47" s="4">
        <v>20.5</v>
      </c>
      <c r="G47" s="4">
        <v>20.8</v>
      </c>
      <c r="H47" s="4">
        <v>922278</v>
      </c>
      <c r="I47" s="4">
        <v>4567.42</v>
      </c>
      <c r="J47" s="4">
        <v>219587698</v>
      </c>
    </row>
    <row r="48" spans="1:10" ht="15" customHeight="1" x14ac:dyDescent="0.15">
      <c r="A48" t="s">
        <v>12</v>
      </c>
      <c r="B48" t="s">
        <v>13</v>
      </c>
      <c r="C48" s="1" t="s">
        <v>60</v>
      </c>
      <c r="D48" s="4">
        <v>20.67</v>
      </c>
      <c r="E48" s="4">
        <v>21.08</v>
      </c>
      <c r="F48" s="4">
        <v>20.67</v>
      </c>
      <c r="G48" s="4">
        <v>21.08</v>
      </c>
      <c r="H48" s="4">
        <v>666957</v>
      </c>
      <c r="I48" s="4">
        <v>4628.91</v>
      </c>
      <c r="J48" s="4">
        <v>219587698</v>
      </c>
    </row>
    <row r="49" spans="1:10" ht="15" customHeight="1" x14ac:dyDescent="0.15">
      <c r="A49" t="s">
        <v>12</v>
      </c>
      <c r="B49" t="s">
        <v>13</v>
      </c>
      <c r="C49" s="1" t="s">
        <v>61</v>
      </c>
      <c r="D49" s="4">
        <v>20.98</v>
      </c>
      <c r="E49" s="4">
        <v>21.6</v>
      </c>
      <c r="F49" s="4">
        <v>20.98</v>
      </c>
      <c r="G49" s="4">
        <v>21.59</v>
      </c>
      <c r="H49" s="4">
        <v>1400949</v>
      </c>
      <c r="I49" s="4">
        <v>4740.8999999999996</v>
      </c>
      <c r="J49" s="4">
        <v>219587698</v>
      </c>
    </row>
    <row r="50" spans="1:10" ht="15" customHeight="1" x14ac:dyDescent="0.15">
      <c r="A50" t="s">
        <v>12</v>
      </c>
      <c r="B50" t="s">
        <v>13</v>
      </c>
      <c r="C50" s="1" t="s">
        <v>62</v>
      </c>
      <c r="D50" s="4">
        <v>21.21</v>
      </c>
      <c r="E50" s="4">
        <v>21.65</v>
      </c>
      <c r="F50" s="4">
        <v>21.21</v>
      </c>
      <c r="G50" s="4">
        <v>21.51</v>
      </c>
      <c r="H50" s="4">
        <v>557773</v>
      </c>
      <c r="I50" s="4">
        <v>4723.33</v>
      </c>
      <c r="J50" s="4">
        <v>219587698</v>
      </c>
    </row>
    <row r="51" spans="1:10" ht="15" customHeight="1" x14ac:dyDescent="0.15">
      <c r="A51" t="s">
        <v>12</v>
      </c>
      <c r="B51" t="s">
        <v>13</v>
      </c>
      <c r="C51" s="1" t="s">
        <v>63</v>
      </c>
      <c r="D51" s="4">
        <v>21.38</v>
      </c>
      <c r="E51" s="4">
        <v>21.97</v>
      </c>
      <c r="F51" s="4">
        <v>21.38</v>
      </c>
      <c r="G51" s="4">
        <v>21.73</v>
      </c>
      <c r="H51" s="4">
        <v>999009</v>
      </c>
      <c r="I51" s="4">
        <v>4800.34</v>
      </c>
      <c r="J51" s="4">
        <v>220908298</v>
      </c>
    </row>
    <row r="52" spans="1:10" ht="15" customHeight="1" x14ac:dyDescent="0.15">
      <c r="A52" t="s">
        <v>12</v>
      </c>
      <c r="B52" t="s">
        <v>13</v>
      </c>
      <c r="C52" s="1" t="s">
        <v>64</v>
      </c>
      <c r="D52" s="4">
        <v>21.85</v>
      </c>
      <c r="E52" s="4">
        <v>22.1</v>
      </c>
      <c r="F52" s="4">
        <v>21.83</v>
      </c>
      <c r="G52" s="4">
        <v>21.95</v>
      </c>
      <c r="H52" s="4">
        <v>1120489</v>
      </c>
      <c r="I52" s="4">
        <v>4848.9399999999996</v>
      </c>
      <c r="J52" s="4">
        <v>220908298</v>
      </c>
    </row>
    <row r="53" spans="1:10" ht="15" customHeight="1" x14ac:dyDescent="0.15">
      <c r="A53" t="s">
        <v>12</v>
      </c>
      <c r="B53" t="s">
        <v>13</v>
      </c>
      <c r="C53" s="1" t="s">
        <v>65</v>
      </c>
      <c r="D53" s="4">
        <v>21.91</v>
      </c>
      <c r="E53" s="4">
        <v>21.91</v>
      </c>
      <c r="F53" s="4">
        <v>21.65</v>
      </c>
      <c r="G53" s="4">
        <v>21.66</v>
      </c>
      <c r="H53" s="4">
        <v>526712</v>
      </c>
      <c r="I53" s="4">
        <v>4784.87</v>
      </c>
      <c r="J53" s="4">
        <v>220908298</v>
      </c>
    </row>
    <row r="54" spans="1:10" ht="15" customHeight="1" x14ac:dyDescent="0.15">
      <c r="A54" t="s">
        <v>12</v>
      </c>
      <c r="B54" t="s">
        <v>13</v>
      </c>
      <c r="C54" s="1" t="s">
        <v>66</v>
      </c>
      <c r="D54" s="4">
        <v>21.44</v>
      </c>
      <c r="E54" s="4">
        <v>21.46</v>
      </c>
      <c r="F54" s="4">
        <v>20.85</v>
      </c>
      <c r="G54" s="4">
        <v>21</v>
      </c>
      <c r="H54" s="4">
        <v>3386112</v>
      </c>
      <c r="I54" s="4">
        <v>4639.07</v>
      </c>
      <c r="J54" s="4">
        <v>220908298</v>
      </c>
    </row>
    <row r="55" spans="1:10" ht="15" customHeight="1" x14ac:dyDescent="0.15">
      <c r="A55" t="s">
        <v>12</v>
      </c>
      <c r="B55" t="s">
        <v>13</v>
      </c>
      <c r="C55" s="1" t="s">
        <v>67</v>
      </c>
      <c r="D55" s="4">
        <v>20.95</v>
      </c>
      <c r="E55" s="4">
        <v>21.26</v>
      </c>
      <c r="F55" s="4">
        <v>20.87</v>
      </c>
      <c r="G55" s="4">
        <v>21.16</v>
      </c>
      <c r="H55" s="4">
        <v>1426786</v>
      </c>
      <c r="I55" s="4">
        <v>4674.42</v>
      </c>
      <c r="J55" s="4">
        <v>220908298</v>
      </c>
    </row>
    <row r="56" spans="1:10" ht="15" customHeight="1" x14ac:dyDescent="0.15">
      <c r="A56" t="s">
        <v>12</v>
      </c>
      <c r="B56" t="s">
        <v>13</v>
      </c>
      <c r="C56" s="1" t="s">
        <v>68</v>
      </c>
      <c r="D56" s="4">
        <v>21.09</v>
      </c>
      <c r="E56" s="4">
        <v>21.23</v>
      </c>
      <c r="F56" s="4">
        <v>21</v>
      </c>
      <c r="G56" s="4">
        <v>21.02</v>
      </c>
      <c r="H56" s="4">
        <v>588162</v>
      </c>
      <c r="I56" s="4">
        <v>4643.49</v>
      </c>
      <c r="J56" s="4">
        <v>220908298</v>
      </c>
    </row>
    <row r="57" spans="1:10" ht="15" customHeight="1" x14ac:dyDescent="0.15">
      <c r="A57" t="s">
        <v>12</v>
      </c>
      <c r="B57" t="s">
        <v>13</v>
      </c>
      <c r="C57" s="1" t="s">
        <v>69</v>
      </c>
      <c r="D57" s="4">
        <v>21.03</v>
      </c>
      <c r="E57" s="4">
        <v>21.25</v>
      </c>
      <c r="F57" s="4">
        <v>21.02</v>
      </c>
      <c r="G57" s="4">
        <v>21.22</v>
      </c>
      <c r="H57" s="4">
        <v>522205</v>
      </c>
      <c r="I57" s="4">
        <v>4687.67</v>
      </c>
      <c r="J57" s="4">
        <v>220908298</v>
      </c>
    </row>
    <row r="58" spans="1:10" ht="15" customHeight="1" x14ac:dyDescent="0.15">
      <c r="A58" t="s">
        <v>12</v>
      </c>
      <c r="B58" t="s">
        <v>13</v>
      </c>
      <c r="C58" s="1" t="s">
        <v>70</v>
      </c>
      <c r="D58" s="4">
        <v>21.43</v>
      </c>
      <c r="E58" s="4">
        <v>21.46</v>
      </c>
      <c r="F58" s="4">
        <v>21.09</v>
      </c>
      <c r="G58" s="4">
        <v>21.32</v>
      </c>
      <c r="H58" s="4">
        <v>928537</v>
      </c>
      <c r="I58" s="4">
        <v>4709.76</v>
      </c>
      <c r="J58" s="4">
        <v>220908298</v>
      </c>
    </row>
    <row r="59" spans="1:10" ht="15" customHeight="1" x14ac:dyDescent="0.15">
      <c r="A59" t="s">
        <v>12</v>
      </c>
      <c r="B59" t="s">
        <v>13</v>
      </c>
      <c r="C59" s="1" t="s">
        <v>71</v>
      </c>
      <c r="D59" s="4">
        <v>21.1</v>
      </c>
      <c r="E59" s="4">
        <v>21.22</v>
      </c>
      <c r="F59" s="4">
        <v>21</v>
      </c>
      <c r="G59" s="4">
        <v>21.03</v>
      </c>
      <c r="H59" s="4">
        <v>528354</v>
      </c>
      <c r="I59" s="4">
        <v>4645.7</v>
      </c>
      <c r="J59" s="4">
        <v>220908298</v>
      </c>
    </row>
    <row r="60" spans="1:10" ht="15" customHeight="1" x14ac:dyDescent="0.15">
      <c r="A60" t="s">
        <v>12</v>
      </c>
      <c r="B60" t="s">
        <v>13</v>
      </c>
      <c r="C60" s="1" t="s">
        <v>72</v>
      </c>
      <c r="D60" s="4">
        <v>21.09</v>
      </c>
      <c r="E60" s="4">
        <v>21.33</v>
      </c>
      <c r="F60" s="4">
        <v>21.07</v>
      </c>
      <c r="G60" s="4">
        <v>21.24</v>
      </c>
      <c r="H60" s="4">
        <v>613273</v>
      </c>
      <c r="I60" s="4">
        <v>4692.09</v>
      </c>
      <c r="J60" s="4">
        <v>220908298</v>
      </c>
    </row>
    <row r="61" spans="1:10" ht="15" customHeight="1" x14ac:dyDescent="0.15">
      <c r="A61" t="s">
        <v>12</v>
      </c>
      <c r="B61" t="s">
        <v>13</v>
      </c>
      <c r="C61" s="1" t="s">
        <v>73</v>
      </c>
      <c r="D61" s="4">
        <v>21.11</v>
      </c>
      <c r="E61" s="4">
        <v>21.47</v>
      </c>
      <c r="F61" s="4">
        <v>21.08</v>
      </c>
      <c r="G61" s="4">
        <v>21.47</v>
      </c>
      <c r="H61" s="4">
        <v>646126</v>
      </c>
      <c r="I61" s="4">
        <v>4742.8999999999996</v>
      </c>
      <c r="J61" s="4">
        <v>220908298</v>
      </c>
    </row>
    <row r="62" spans="1:10" ht="15" customHeight="1" x14ac:dyDescent="0.15">
      <c r="A62" t="s">
        <v>12</v>
      </c>
      <c r="B62" t="s">
        <v>13</v>
      </c>
      <c r="C62" s="1" t="s">
        <v>74</v>
      </c>
      <c r="D62" s="4">
        <v>21.2</v>
      </c>
      <c r="E62" s="4">
        <v>21.5</v>
      </c>
      <c r="F62" s="4">
        <v>21.2</v>
      </c>
      <c r="G62" s="4">
        <v>21.44</v>
      </c>
      <c r="H62" s="4">
        <v>472246</v>
      </c>
      <c r="I62" s="4">
        <v>4736.2700000000004</v>
      </c>
      <c r="J62" s="4">
        <v>220908298</v>
      </c>
    </row>
    <row r="63" spans="1:10" ht="15" customHeight="1" x14ac:dyDescent="0.15">
      <c r="A63" t="s">
        <v>12</v>
      </c>
      <c r="B63" t="s">
        <v>13</v>
      </c>
      <c r="C63" s="1" t="s">
        <v>75</v>
      </c>
      <c r="D63" s="4">
        <v>21.5</v>
      </c>
      <c r="E63" s="4">
        <v>21.85</v>
      </c>
      <c r="F63" s="4">
        <v>21.49</v>
      </c>
      <c r="G63" s="4">
        <v>21.85</v>
      </c>
      <c r="H63" s="4">
        <v>701551</v>
      </c>
      <c r="I63" s="4">
        <v>4826.8500000000004</v>
      </c>
      <c r="J63" s="4">
        <v>220908298</v>
      </c>
    </row>
    <row r="64" spans="1:10" ht="15" customHeight="1" x14ac:dyDescent="0.15">
      <c r="A64" t="s">
        <v>12</v>
      </c>
      <c r="B64" t="s">
        <v>13</v>
      </c>
      <c r="C64" s="1" t="s">
        <v>76</v>
      </c>
      <c r="D64" s="4">
        <v>21.6</v>
      </c>
      <c r="E64" s="4">
        <v>21.77</v>
      </c>
      <c r="F64" s="4">
        <v>21.48</v>
      </c>
      <c r="G64" s="4">
        <v>21.69</v>
      </c>
      <c r="H64" s="4">
        <v>759042</v>
      </c>
      <c r="I64" s="4">
        <v>4791.5</v>
      </c>
      <c r="J64" s="4">
        <v>220908298</v>
      </c>
    </row>
    <row r="65" spans="1:10" ht="15" customHeight="1" x14ac:dyDescent="0.15">
      <c r="A65" t="s">
        <v>12</v>
      </c>
      <c r="B65" t="s">
        <v>13</v>
      </c>
      <c r="C65" s="1" t="s">
        <v>77</v>
      </c>
      <c r="D65" s="4">
        <v>21.59</v>
      </c>
      <c r="E65" s="4">
        <v>21.67</v>
      </c>
      <c r="F65" s="4">
        <v>21.09</v>
      </c>
      <c r="G65" s="4">
        <v>21.12</v>
      </c>
      <c r="H65" s="4">
        <v>716367</v>
      </c>
      <c r="I65" s="4">
        <v>4665.58</v>
      </c>
      <c r="J65" s="4">
        <v>220908298</v>
      </c>
    </row>
    <row r="66" spans="1:10" ht="15" customHeight="1" x14ac:dyDescent="0.15">
      <c r="A66" t="s">
        <v>12</v>
      </c>
      <c r="B66" t="s">
        <v>13</v>
      </c>
      <c r="C66" s="1" t="s">
        <v>78</v>
      </c>
      <c r="D66" s="4">
        <v>21.24</v>
      </c>
      <c r="E66" s="4">
        <v>21.65</v>
      </c>
      <c r="F66" s="4">
        <v>21.2</v>
      </c>
      <c r="G66" s="4">
        <v>21.56</v>
      </c>
      <c r="H66" s="4">
        <v>1277262</v>
      </c>
      <c r="I66" s="4">
        <v>4762.78</v>
      </c>
      <c r="J66" s="4">
        <v>220908298</v>
      </c>
    </row>
    <row r="67" spans="1:10" ht="15" customHeight="1" x14ac:dyDescent="0.15">
      <c r="A67" t="s">
        <v>12</v>
      </c>
      <c r="B67" t="s">
        <v>13</v>
      </c>
      <c r="C67" s="1" t="s">
        <v>79</v>
      </c>
      <c r="D67" s="4">
        <v>21.33</v>
      </c>
      <c r="E67" s="4">
        <v>21.4</v>
      </c>
      <c r="F67" s="4">
        <v>21.07</v>
      </c>
      <c r="G67" s="4">
        <v>21.15</v>
      </c>
      <c r="H67" s="4">
        <v>574168</v>
      </c>
      <c r="I67" s="4">
        <v>4672.21</v>
      </c>
      <c r="J67" s="4">
        <v>220908298</v>
      </c>
    </row>
    <row r="68" spans="1:10" ht="15" customHeight="1" x14ac:dyDescent="0.15">
      <c r="A68" t="s">
        <v>12</v>
      </c>
      <c r="B68" t="s">
        <v>13</v>
      </c>
      <c r="C68" s="1" t="s">
        <v>80</v>
      </c>
      <c r="D68" s="4">
        <v>21.26</v>
      </c>
      <c r="E68" s="4">
        <v>21.7</v>
      </c>
      <c r="F68" s="4">
        <v>21.2</v>
      </c>
      <c r="G68" s="4">
        <v>21.65</v>
      </c>
      <c r="H68" s="4">
        <v>695505</v>
      </c>
      <c r="I68" s="4">
        <v>4782.66</v>
      </c>
      <c r="J68" s="4">
        <v>220908298</v>
      </c>
    </row>
    <row r="69" spans="1:10" ht="15" customHeight="1" x14ac:dyDescent="0.15">
      <c r="A69" t="s">
        <v>12</v>
      </c>
      <c r="B69" t="s">
        <v>13</v>
      </c>
      <c r="C69" s="1" t="s">
        <v>81</v>
      </c>
      <c r="D69" s="4">
        <v>21.21</v>
      </c>
      <c r="E69" s="4">
        <v>21.4</v>
      </c>
      <c r="F69" s="4">
        <v>21.05</v>
      </c>
      <c r="G69" s="4">
        <v>21.26</v>
      </c>
      <c r="H69" s="4">
        <v>779702</v>
      </c>
      <c r="I69" s="4">
        <v>4697.08</v>
      </c>
      <c r="J69" s="4">
        <v>220935250</v>
      </c>
    </row>
    <row r="70" spans="1:10" ht="15" customHeight="1" x14ac:dyDescent="0.15">
      <c r="A70" t="s">
        <v>12</v>
      </c>
      <c r="B70" t="s">
        <v>13</v>
      </c>
      <c r="C70" s="1" t="s">
        <v>82</v>
      </c>
      <c r="D70" s="4">
        <v>21.3</v>
      </c>
      <c r="E70" s="4">
        <v>21.54</v>
      </c>
      <c r="F70" s="4">
        <v>21.29</v>
      </c>
      <c r="G70" s="4">
        <v>21.43</v>
      </c>
      <c r="H70" s="4">
        <v>494767</v>
      </c>
      <c r="I70" s="4">
        <v>4734.6400000000003</v>
      </c>
      <c r="J70" s="4">
        <v>220935250</v>
      </c>
    </row>
    <row r="71" spans="1:10" ht="15" customHeight="1" x14ac:dyDescent="0.15">
      <c r="A71" t="s">
        <v>12</v>
      </c>
      <c r="B71" t="s">
        <v>13</v>
      </c>
      <c r="C71" s="1" t="s">
        <v>83</v>
      </c>
      <c r="D71" s="4">
        <v>21.05</v>
      </c>
      <c r="E71" s="4">
        <v>21.45</v>
      </c>
      <c r="F71" s="4">
        <v>21.03</v>
      </c>
      <c r="G71" s="4">
        <v>21.36</v>
      </c>
      <c r="H71" s="4">
        <v>517008</v>
      </c>
      <c r="I71" s="4">
        <v>4719.18</v>
      </c>
      <c r="J71" s="4">
        <v>220935250</v>
      </c>
    </row>
    <row r="72" spans="1:10" ht="15" customHeight="1" x14ac:dyDescent="0.15">
      <c r="A72" t="s">
        <v>12</v>
      </c>
      <c r="B72" t="s">
        <v>13</v>
      </c>
      <c r="C72" s="1" t="s">
        <v>84</v>
      </c>
      <c r="D72" s="4">
        <v>21.26</v>
      </c>
      <c r="E72" s="4">
        <v>21.38</v>
      </c>
      <c r="F72" s="4">
        <v>21.15</v>
      </c>
      <c r="G72" s="4">
        <v>21.36</v>
      </c>
      <c r="H72" s="4">
        <v>554904</v>
      </c>
      <c r="I72" s="4">
        <v>4719.18</v>
      </c>
      <c r="J72" s="4">
        <v>220935250</v>
      </c>
    </row>
    <row r="73" spans="1:10" ht="15" customHeight="1" x14ac:dyDescent="0.15">
      <c r="A73" t="s">
        <v>12</v>
      </c>
      <c r="B73" t="s">
        <v>13</v>
      </c>
      <c r="C73" s="1" t="s">
        <v>85</v>
      </c>
      <c r="D73" s="4">
        <v>21.14</v>
      </c>
      <c r="E73" s="4">
        <v>21.29</v>
      </c>
      <c r="F73" s="4">
        <v>21.03</v>
      </c>
      <c r="G73" s="4">
        <v>21.23</v>
      </c>
      <c r="H73" s="4">
        <v>605995</v>
      </c>
      <c r="I73" s="4">
        <v>4690.46</v>
      </c>
      <c r="J73" s="4">
        <v>220935250</v>
      </c>
    </row>
    <row r="74" spans="1:10" ht="15" customHeight="1" x14ac:dyDescent="0.15">
      <c r="A74" t="s">
        <v>12</v>
      </c>
      <c r="B74" t="s">
        <v>13</v>
      </c>
      <c r="C74" s="1" t="s">
        <v>86</v>
      </c>
      <c r="D74" s="4">
        <v>21.06</v>
      </c>
      <c r="E74" s="4">
        <v>21.2</v>
      </c>
      <c r="F74" s="4">
        <v>20.885000000000002</v>
      </c>
      <c r="G74" s="4">
        <v>20.89</v>
      </c>
      <c r="H74" s="4">
        <v>1437861</v>
      </c>
      <c r="I74" s="4">
        <v>4615.34</v>
      </c>
      <c r="J74" s="4">
        <v>220935250</v>
      </c>
    </row>
    <row r="75" spans="1:10" ht="15" customHeight="1" x14ac:dyDescent="0.15">
      <c r="A75" t="s">
        <v>12</v>
      </c>
      <c r="B75" t="s">
        <v>13</v>
      </c>
      <c r="C75" s="1" t="s">
        <v>87</v>
      </c>
      <c r="D75" s="4">
        <v>20.99</v>
      </c>
      <c r="E75" s="4">
        <v>21.12</v>
      </c>
      <c r="F75" s="4">
        <v>20.89</v>
      </c>
      <c r="G75" s="4">
        <v>21.06</v>
      </c>
      <c r="H75" s="4">
        <v>701161</v>
      </c>
      <c r="I75" s="4">
        <v>4652.99</v>
      </c>
      <c r="J75" s="4">
        <v>220939470</v>
      </c>
    </row>
    <row r="76" spans="1:10" ht="15" customHeight="1" x14ac:dyDescent="0.15">
      <c r="A76" t="s">
        <v>12</v>
      </c>
      <c r="B76" t="s">
        <v>13</v>
      </c>
      <c r="C76" s="1" t="s">
        <v>88</v>
      </c>
      <c r="D76" s="4">
        <v>20.95</v>
      </c>
      <c r="E76" s="4">
        <v>21.25</v>
      </c>
      <c r="F76" s="4">
        <v>20.95</v>
      </c>
      <c r="G76" s="4">
        <v>21.04</v>
      </c>
      <c r="H76" s="4">
        <v>621742</v>
      </c>
      <c r="I76" s="4">
        <v>4648.57</v>
      </c>
      <c r="J76" s="4">
        <v>220939470</v>
      </c>
    </row>
    <row r="77" spans="1:10" ht="15" customHeight="1" x14ac:dyDescent="0.15">
      <c r="A77" t="s">
        <v>12</v>
      </c>
      <c r="B77" t="s">
        <v>13</v>
      </c>
      <c r="C77" s="1" t="s">
        <v>89</v>
      </c>
      <c r="D77" s="4">
        <v>20.95</v>
      </c>
      <c r="E77" s="4">
        <v>20.98</v>
      </c>
      <c r="F77" s="4">
        <v>19.989999999999998</v>
      </c>
      <c r="G77" s="4">
        <v>19.989999999999998</v>
      </c>
      <c r="H77" s="4">
        <v>1445639</v>
      </c>
      <c r="I77" s="4">
        <v>4416.58</v>
      </c>
      <c r="J77" s="4">
        <v>220939470</v>
      </c>
    </row>
    <row r="78" spans="1:10" ht="15" customHeight="1" x14ac:dyDescent="0.15">
      <c r="A78" t="s">
        <v>12</v>
      </c>
      <c r="B78" t="s">
        <v>13</v>
      </c>
      <c r="C78" s="1" t="s">
        <v>90</v>
      </c>
      <c r="D78" s="4">
        <v>20.39</v>
      </c>
      <c r="E78" s="4">
        <v>20.47</v>
      </c>
      <c r="F78" s="4">
        <v>20.11</v>
      </c>
      <c r="G78" s="4">
        <v>20.27</v>
      </c>
      <c r="H78" s="4">
        <v>612445</v>
      </c>
      <c r="I78" s="4">
        <v>4478.4399999999996</v>
      </c>
      <c r="J78" s="4">
        <v>220939470</v>
      </c>
    </row>
    <row r="79" spans="1:10" ht="15" customHeight="1" x14ac:dyDescent="0.15">
      <c r="A79" t="s">
        <v>12</v>
      </c>
      <c r="B79" t="s">
        <v>13</v>
      </c>
      <c r="C79" s="1" t="s">
        <v>91</v>
      </c>
      <c r="D79" s="4">
        <v>20.29</v>
      </c>
      <c r="E79" s="4">
        <v>20.99</v>
      </c>
      <c r="F79" s="4">
        <v>20.29</v>
      </c>
      <c r="G79" s="4">
        <v>20.99</v>
      </c>
      <c r="H79" s="4">
        <v>832498</v>
      </c>
      <c r="I79" s="4">
        <v>4637.5200000000004</v>
      </c>
      <c r="J79" s="4">
        <v>220939470</v>
      </c>
    </row>
    <row r="80" spans="1:10" ht="15" customHeight="1" x14ac:dyDescent="0.15">
      <c r="A80" t="s">
        <v>12</v>
      </c>
      <c r="B80" t="s">
        <v>13</v>
      </c>
      <c r="C80" s="1" t="s">
        <v>92</v>
      </c>
      <c r="D80" s="4">
        <v>21.08</v>
      </c>
      <c r="E80" s="4">
        <v>21.27</v>
      </c>
      <c r="F80" s="4">
        <v>20.7</v>
      </c>
      <c r="G80" s="4">
        <v>20.75</v>
      </c>
      <c r="H80" s="4">
        <v>793562</v>
      </c>
      <c r="I80" s="4">
        <v>4584.49</v>
      </c>
      <c r="J80" s="4">
        <v>220939470</v>
      </c>
    </row>
    <row r="81" spans="1:10" ht="15" customHeight="1" x14ac:dyDescent="0.15">
      <c r="A81" t="s">
        <v>12</v>
      </c>
      <c r="B81" t="s">
        <v>13</v>
      </c>
      <c r="C81" s="1" t="s">
        <v>93</v>
      </c>
      <c r="D81" s="4">
        <v>20.79</v>
      </c>
      <c r="E81" s="4">
        <v>21.03</v>
      </c>
      <c r="F81" s="4">
        <v>20.71</v>
      </c>
      <c r="G81" s="4">
        <v>20.99</v>
      </c>
      <c r="H81" s="4">
        <v>597340</v>
      </c>
      <c r="I81" s="4">
        <v>4637.5200000000004</v>
      </c>
      <c r="J81" s="4">
        <v>220939470</v>
      </c>
    </row>
    <row r="82" spans="1:10" ht="15" customHeight="1" x14ac:dyDescent="0.15">
      <c r="A82" t="s">
        <v>12</v>
      </c>
      <c r="B82" t="s">
        <v>13</v>
      </c>
      <c r="C82" s="1" t="s">
        <v>94</v>
      </c>
      <c r="D82" s="4">
        <v>21.1</v>
      </c>
      <c r="E82" s="4">
        <v>21.32</v>
      </c>
      <c r="F82" s="4">
        <v>21.05</v>
      </c>
      <c r="G82" s="4">
        <v>21.19</v>
      </c>
      <c r="H82" s="4">
        <v>682539</v>
      </c>
      <c r="I82" s="4">
        <v>4681.71</v>
      </c>
      <c r="J82" s="4">
        <v>220939470</v>
      </c>
    </row>
    <row r="83" spans="1:10" ht="15" customHeight="1" x14ac:dyDescent="0.15">
      <c r="A83" t="s">
        <v>12</v>
      </c>
      <c r="B83" t="s">
        <v>13</v>
      </c>
      <c r="C83" s="1" t="s">
        <v>95</v>
      </c>
      <c r="D83" s="4">
        <v>21.22</v>
      </c>
      <c r="E83" s="4">
        <v>21.29</v>
      </c>
      <c r="F83" s="4">
        <v>21.05</v>
      </c>
      <c r="G83" s="4">
        <v>21.21</v>
      </c>
      <c r="H83" s="4">
        <v>639463</v>
      </c>
      <c r="I83" s="4">
        <v>4686.13</v>
      </c>
      <c r="J83" s="4">
        <v>220939470</v>
      </c>
    </row>
    <row r="84" spans="1:10" ht="15" customHeight="1" x14ac:dyDescent="0.15">
      <c r="A84" t="s">
        <v>12</v>
      </c>
      <c r="B84" t="s">
        <v>13</v>
      </c>
      <c r="C84" s="1" t="s">
        <v>96</v>
      </c>
      <c r="D84" s="4">
        <v>21.06</v>
      </c>
      <c r="E84" s="4">
        <v>21.21</v>
      </c>
      <c r="F84" s="4">
        <v>20.88</v>
      </c>
      <c r="G84" s="4">
        <v>20.88</v>
      </c>
      <c r="H84" s="4">
        <v>595707</v>
      </c>
      <c r="I84" s="4">
        <v>4613.22</v>
      </c>
      <c r="J84" s="4">
        <v>220939470</v>
      </c>
    </row>
    <row r="85" spans="1:10" ht="15" customHeight="1" x14ac:dyDescent="0.15">
      <c r="A85" t="s">
        <v>12</v>
      </c>
      <c r="B85" t="s">
        <v>13</v>
      </c>
      <c r="C85" s="1" t="s">
        <v>97</v>
      </c>
      <c r="D85" s="4">
        <v>20.83</v>
      </c>
      <c r="E85" s="4">
        <v>21.03</v>
      </c>
      <c r="F85" s="4">
        <v>20.399999999999999</v>
      </c>
      <c r="G85" s="4">
        <v>20.47</v>
      </c>
      <c r="H85" s="4">
        <v>1372294</v>
      </c>
      <c r="I85" s="4">
        <v>4522.63</v>
      </c>
      <c r="J85" s="4">
        <v>220939470</v>
      </c>
    </row>
    <row r="86" spans="1:10" ht="15" customHeight="1" x14ac:dyDescent="0.15">
      <c r="A86" t="s">
        <v>12</v>
      </c>
      <c r="B86" t="s">
        <v>13</v>
      </c>
      <c r="C86" s="1" t="s">
        <v>98</v>
      </c>
      <c r="D86" s="4">
        <v>20.65</v>
      </c>
      <c r="E86" s="4">
        <v>20.75</v>
      </c>
      <c r="F86" s="4">
        <v>20.45</v>
      </c>
      <c r="G86" s="4">
        <v>20.5</v>
      </c>
      <c r="H86" s="4">
        <v>589857</v>
      </c>
      <c r="I86" s="4">
        <v>4529.26</v>
      </c>
      <c r="J86" s="4">
        <v>220939470</v>
      </c>
    </row>
    <row r="87" spans="1:10" ht="15" customHeight="1" x14ac:dyDescent="0.15">
      <c r="A87" t="s">
        <v>12</v>
      </c>
      <c r="B87" t="s">
        <v>13</v>
      </c>
      <c r="C87" s="1" t="s">
        <v>99</v>
      </c>
      <c r="D87" s="4">
        <v>20.48</v>
      </c>
      <c r="E87" s="4">
        <v>20.51</v>
      </c>
      <c r="F87" s="4">
        <v>19.96</v>
      </c>
      <c r="G87" s="4">
        <v>20.059999999999999</v>
      </c>
      <c r="H87" s="4">
        <v>1108499</v>
      </c>
      <c r="I87" s="4">
        <v>4432.05</v>
      </c>
      <c r="J87" s="4">
        <v>220939470</v>
      </c>
    </row>
    <row r="88" spans="1:10" ht="15" customHeight="1" x14ac:dyDescent="0.15">
      <c r="A88" t="s">
        <v>12</v>
      </c>
      <c r="B88" t="s">
        <v>13</v>
      </c>
      <c r="C88" s="1" t="s">
        <v>100</v>
      </c>
      <c r="D88" s="4">
        <v>20.18</v>
      </c>
      <c r="E88" s="4">
        <v>20.6</v>
      </c>
      <c r="F88" s="4">
        <v>20.149999999999999</v>
      </c>
      <c r="G88" s="4">
        <v>20.59</v>
      </c>
      <c r="H88" s="4">
        <v>736025</v>
      </c>
      <c r="I88" s="4">
        <v>4549.1400000000003</v>
      </c>
      <c r="J88" s="4">
        <v>220939470</v>
      </c>
    </row>
    <row r="89" spans="1:10" ht="15" customHeight="1" x14ac:dyDescent="0.15">
      <c r="A89" t="s">
        <v>12</v>
      </c>
      <c r="B89" t="s">
        <v>13</v>
      </c>
      <c r="C89" s="1" t="s">
        <v>101</v>
      </c>
      <c r="D89" s="4">
        <v>20.68</v>
      </c>
      <c r="E89" s="4">
        <v>21.08</v>
      </c>
      <c r="F89" s="4">
        <v>20.62</v>
      </c>
      <c r="G89" s="4">
        <v>21.05</v>
      </c>
      <c r="H89" s="4">
        <v>1157320</v>
      </c>
      <c r="I89" s="4">
        <v>4650.78</v>
      </c>
      <c r="J89" s="4">
        <v>220939470</v>
      </c>
    </row>
    <row r="90" spans="1:10" ht="15" customHeight="1" x14ac:dyDescent="0.15">
      <c r="A90" t="s">
        <v>12</v>
      </c>
      <c r="B90" t="s">
        <v>13</v>
      </c>
      <c r="C90" s="1" t="s">
        <v>102</v>
      </c>
      <c r="D90" s="4">
        <v>20.9</v>
      </c>
      <c r="E90" s="4">
        <v>21.14</v>
      </c>
      <c r="F90" s="4">
        <v>20.64</v>
      </c>
      <c r="G90" s="4">
        <v>20.64</v>
      </c>
      <c r="H90" s="4">
        <v>1027123</v>
      </c>
      <c r="I90" s="4">
        <v>4560.8</v>
      </c>
      <c r="J90" s="4">
        <v>220969233</v>
      </c>
    </row>
    <row r="91" spans="1:10" ht="15" customHeight="1" x14ac:dyDescent="0.15">
      <c r="A91" t="s">
        <v>12</v>
      </c>
      <c r="B91" t="s">
        <v>13</v>
      </c>
      <c r="C91" s="1" t="s">
        <v>103</v>
      </c>
      <c r="D91" s="4">
        <v>20.55</v>
      </c>
      <c r="E91" s="4">
        <v>20.81</v>
      </c>
      <c r="F91" s="4">
        <v>20.420000000000002</v>
      </c>
      <c r="G91" s="4">
        <v>20.420000000000002</v>
      </c>
      <c r="H91" s="4">
        <v>802632</v>
      </c>
      <c r="I91" s="4">
        <v>4512.1899999999996</v>
      </c>
      <c r="J91" s="4">
        <v>220969233</v>
      </c>
    </row>
    <row r="92" spans="1:10" ht="15" customHeight="1" x14ac:dyDescent="0.15">
      <c r="A92" t="s">
        <v>12</v>
      </c>
      <c r="B92" t="s">
        <v>13</v>
      </c>
      <c r="C92" s="1" t="s">
        <v>104</v>
      </c>
      <c r="D92" s="4">
        <v>20.36</v>
      </c>
      <c r="E92" s="4">
        <v>20.6</v>
      </c>
      <c r="F92" s="4">
        <v>19.739999999999998</v>
      </c>
      <c r="G92" s="4">
        <v>19.84</v>
      </c>
      <c r="H92" s="4">
        <v>1178402</v>
      </c>
      <c r="I92" s="4">
        <v>4384.03</v>
      </c>
      <c r="J92" s="4">
        <v>220969233</v>
      </c>
    </row>
    <row r="93" spans="1:10" ht="15" customHeight="1" x14ac:dyDescent="0.15">
      <c r="A93" t="s">
        <v>12</v>
      </c>
      <c r="B93" t="s">
        <v>13</v>
      </c>
      <c r="C93" s="1" t="s">
        <v>105</v>
      </c>
      <c r="D93" s="4">
        <v>19.91</v>
      </c>
      <c r="E93" s="4">
        <v>20.6</v>
      </c>
      <c r="F93" s="4">
        <v>19.88</v>
      </c>
      <c r="G93" s="4">
        <v>20.59</v>
      </c>
      <c r="H93" s="4">
        <v>1007285</v>
      </c>
      <c r="I93" s="4">
        <v>4549.76</v>
      </c>
      <c r="J93" s="4">
        <v>220969233</v>
      </c>
    </row>
    <row r="94" spans="1:10" ht="15" customHeight="1" x14ac:dyDescent="0.15">
      <c r="A94" t="s">
        <v>12</v>
      </c>
      <c r="B94" t="s">
        <v>13</v>
      </c>
      <c r="C94" s="1" t="s">
        <v>106</v>
      </c>
      <c r="D94" s="4">
        <v>20.68</v>
      </c>
      <c r="E94" s="4">
        <v>20.81</v>
      </c>
      <c r="F94" s="4">
        <v>20.5</v>
      </c>
      <c r="G94" s="4">
        <v>20.62</v>
      </c>
      <c r="H94" s="4">
        <v>584338</v>
      </c>
      <c r="I94" s="4">
        <v>4556.3900000000003</v>
      </c>
      <c r="J94" s="4">
        <v>220969233</v>
      </c>
    </row>
    <row r="95" spans="1:10" ht="15" customHeight="1" x14ac:dyDescent="0.15">
      <c r="A95" t="s">
        <v>12</v>
      </c>
      <c r="B95" t="s">
        <v>13</v>
      </c>
      <c r="C95" s="1" t="s">
        <v>107</v>
      </c>
      <c r="D95" s="4">
        <v>20.77</v>
      </c>
      <c r="E95" s="4">
        <v>20.88</v>
      </c>
      <c r="F95" s="4">
        <v>20.6</v>
      </c>
      <c r="G95" s="4">
        <v>20.7</v>
      </c>
      <c r="H95" s="4">
        <v>648545</v>
      </c>
      <c r="I95" s="4">
        <v>4574.0600000000004</v>
      </c>
      <c r="J95" s="4">
        <v>220969233</v>
      </c>
    </row>
    <row r="96" spans="1:10" ht="15" customHeight="1" x14ac:dyDescent="0.15">
      <c r="A96" t="s">
        <v>12</v>
      </c>
      <c r="B96" t="s">
        <v>13</v>
      </c>
      <c r="C96" s="1" t="s">
        <v>108</v>
      </c>
      <c r="D96" s="4">
        <v>20.54</v>
      </c>
      <c r="E96" s="4">
        <v>20.67</v>
      </c>
      <c r="F96" s="4">
        <v>20.34</v>
      </c>
      <c r="G96" s="4">
        <v>20.39</v>
      </c>
      <c r="H96" s="4">
        <v>711385</v>
      </c>
      <c r="I96" s="4">
        <v>4505.5600000000004</v>
      </c>
      <c r="J96" s="4">
        <v>220969233</v>
      </c>
    </row>
    <row r="97" spans="1:10" ht="15" customHeight="1" x14ac:dyDescent="0.15">
      <c r="A97" t="s">
        <v>12</v>
      </c>
      <c r="B97" t="s">
        <v>13</v>
      </c>
      <c r="C97" s="1" t="s">
        <v>109</v>
      </c>
      <c r="D97" s="4">
        <v>20.440000000000001</v>
      </c>
      <c r="E97" s="4">
        <v>20.7</v>
      </c>
      <c r="F97" s="4">
        <v>20.21</v>
      </c>
      <c r="G97" s="4">
        <v>20.440000000000001</v>
      </c>
      <c r="H97" s="4">
        <v>495855</v>
      </c>
      <c r="I97" s="4">
        <v>4516.6099999999997</v>
      </c>
      <c r="J97" s="4">
        <v>220969233</v>
      </c>
    </row>
    <row r="98" spans="1:10" ht="15" customHeight="1" x14ac:dyDescent="0.15">
      <c r="A98" t="s">
        <v>12</v>
      </c>
      <c r="B98" t="s">
        <v>13</v>
      </c>
      <c r="C98" s="1" t="s">
        <v>110</v>
      </c>
      <c r="D98" s="4">
        <v>20.399999999999999</v>
      </c>
      <c r="E98" s="4">
        <v>20.68</v>
      </c>
      <c r="F98" s="4">
        <v>20.38</v>
      </c>
      <c r="G98" s="4">
        <v>20.65</v>
      </c>
      <c r="H98" s="4">
        <v>652779</v>
      </c>
      <c r="I98" s="4">
        <v>4563.01</v>
      </c>
      <c r="J98" s="4">
        <v>220969233</v>
      </c>
    </row>
    <row r="99" spans="1:10" ht="15" customHeight="1" x14ac:dyDescent="0.15">
      <c r="A99" t="s">
        <v>12</v>
      </c>
      <c r="B99" t="s">
        <v>13</v>
      </c>
      <c r="C99" s="1" t="s">
        <v>111</v>
      </c>
      <c r="D99" s="4">
        <v>20.67</v>
      </c>
      <c r="E99" s="4">
        <v>20.77</v>
      </c>
      <c r="F99" s="4">
        <v>20.27</v>
      </c>
      <c r="G99" s="4">
        <v>20.34</v>
      </c>
      <c r="H99" s="4">
        <v>2212867</v>
      </c>
      <c r="I99" s="4">
        <v>4494.51</v>
      </c>
      <c r="J99" s="4">
        <v>220969233</v>
      </c>
    </row>
    <row r="100" spans="1:10" ht="15" customHeight="1" x14ac:dyDescent="0.15">
      <c r="A100" t="s">
        <v>12</v>
      </c>
      <c r="B100" t="s">
        <v>13</v>
      </c>
      <c r="C100" s="1" t="s">
        <v>112</v>
      </c>
      <c r="D100" s="4">
        <v>20.28</v>
      </c>
      <c r="E100" s="4">
        <v>20.32</v>
      </c>
      <c r="F100" s="4">
        <v>19.920000000000002</v>
      </c>
      <c r="G100" s="4">
        <v>20</v>
      </c>
      <c r="H100" s="4">
        <v>916843</v>
      </c>
      <c r="I100" s="4">
        <v>4419.38</v>
      </c>
      <c r="J100" s="4">
        <v>220969233</v>
      </c>
    </row>
    <row r="101" spans="1:10" ht="15" customHeight="1" x14ac:dyDescent="0.15">
      <c r="A101" t="s">
        <v>12</v>
      </c>
      <c r="B101" t="s">
        <v>13</v>
      </c>
      <c r="C101" s="1" t="s">
        <v>113</v>
      </c>
      <c r="D101" s="4">
        <v>19.760000000000002</v>
      </c>
      <c r="E101" s="4">
        <v>19.98</v>
      </c>
      <c r="F101" s="4">
        <v>19.510000000000002</v>
      </c>
      <c r="G101" s="4">
        <v>19.510000000000002</v>
      </c>
      <c r="H101" s="4">
        <v>1078304</v>
      </c>
      <c r="I101" s="4">
        <v>4311.1099999999997</v>
      </c>
      <c r="J101" s="4">
        <v>220969233</v>
      </c>
    </row>
    <row r="102" spans="1:10" ht="15" customHeight="1" x14ac:dyDescent="0.15">
      <c r="A102" t="s">
        <v>12</v>
      </c>
      <c r="B102" t="s">
        <v>13</v>
      </c>
      <c r="C102" s="1" t="s">
        <v>114</v>
      </c>
      <c r="D102" s="4">
        <v>19.649999999999999</v>
      </c>
      <c r="E102" s="4">
        <v>19.84</v>
      </c>
      <c r="F102" s="4">
        <v>19.54</v>
      </c>
      <c r="G102" s="4">
        <v>19.8</v>
      </c>
      <c r="H102" s="4">
        <v>1242464</v>
      </c>
      <c r="I102" s="4">
        <v>4375.1899999999996</v>
      </c>
      <c r="J102" s="4">
        <v>220969233</v>
      </c>
    </row>
    <row r="103" spans="1:10" ht="15" customHeight="1" x14ac:dyDescent="0.15">
      <c r="A103" t="s">
        <v>12</v>
      </c>
      <c r="B103" t="s">
        <v>13</v>
      </c>
      <c r="C103" s="1" t="s">
        <v>115</v>
      </c>
      <c r="D103" s="4">
        <v>19.79</v>
      </c>
      <c r="E103" s="4">
        <v>19.79</v>
      </c>
      <c r="F103" s="4">
        <v>19.350000000000001</v>
      </c>
      <c r="G103" s="4">
        <v>19.399999999999999</v>
      </c>
      <c r="H103" s="4">
        <v>724247</v>
      </c>
      <c r="I103" s="4">
        <v>4286.8</v>
      </c>
      <c r="J103" s="4">
        <v>220969233</v>
      </c>
    </row>
    <row r="104" spans="1:10" ht="15" customHeight="1" x14ac:dyDescent="0.15">
      <c r="A104" t="s">
        <v>12</v>
      </c>
      <c r="B104" t="s">
        <v>13</v>
      </c>
      <c r="C104" s="1" t="s">
        <v>116</v>
      </c>
      <c r="D104" s="4">
        <v>19.16</v>
      </c>
      <c r="E104" s="4">
        <v>19.399999999999999</v>
      </c>
      <c r="F104" s="4">
        <v>18.899999999999999</v>
      </c>
      <c r="G104" s="4">
        <v>18.98</v>
      </c>
      <c r="H104" s="4">
        <v>1565091</v>
      </c>
      <c r="I104" s="4">
        <v>4194</v>
      </c>
      <c r="J104" s="4">
        <v>220969233</v>
      </c>
    </row>
    <row r="105" spans="1:10" ht="15" customHeight="1" x14ac:dyDescent="0.15">
      <c r="A105" t="s">
        <v>12</v>
      </c>
      <c r="B105" t="s">
        <v>13</v>
      </c>
      <c r="C105" s="1" t="s">
        <v>117</v>
      </c>
      <c r="D105" s="4">
        <v>18.940000000000001</v>
      </c>
      <c r="E105" s="4">
        <v>19.13</v>
      </c>
      <c r="F105" s="4">
        <v>18.785</v>
      </c>
      <c r="G105" s="4">
        <v>19.11</v>
      </c>
      <c r="H105" s="4">
        <v>963307</v>
      </c>
      <c r="I105" s="4">
        <v>4222.72</v>
      </c>
      <c r="J105" s="4">
        <v>220969233</v>
      </c>
    </row>
    <row r="106" spans="1:10" ht="15" customHeight="1" x14ac:dyDescent="0.15">
      <c r="A106" t="s">
        <v>12</v>
      </c>
      <c r="B106" t="s">
        <v>13</v>
      </c>
      <c r="C106" s="1" t="s">
        <v>118</v>
      </c>
      <c r="D106" s="4">
        <v>19.2</v>
      </c>
      <c r="E106" s="4">
        <v>19.28</v>
      </c>
      <c r="F106" s="4">
        <v>18.809999999999999</v>
      </c>
      <c r="G106" s="4">
        <v>18.850000000000001</v>
      </c>
      <c r="H106" s="4">
        <v>1746799</v>
      </c>
      <c r="I106" s="4">
        <v>4165.2700000000004</v>
      </c>
      <c r="J106" s="4">
        <v>220969233</v>
      </c>
    </row>
    <row r="107" spans="1:10" ht="15" customHeight="1" x14ac:dyDescent="0.15">
      <c r="A107" t="s">
        <v>12</v>
      </c>
      <c r="B107" t="s">
        <v>13</v>
      </c>
      <c r="C107" s="1" t="s">
        <v>119</v>
      </c>
      <c r="D107" s="4">
        <v>19.04</v>
      </c>
      <c r="E107" s="4">
        <v>19.079999999999998</v>
      </c>
      <c r="F107" s="4">
        <v>18.809999999999999</v>
      </c>
      <c r="G107" s="4">
        <v>18.97</v>
      </c>
      <c r="H107" s="4">
        <v>1342203</v>
      </c>
      <c r="I107" s="4">
        <v>4191.79</v>
      </c>
      <c r="J107" s="4">
        <v>220969233</v>
      </c>
    </row>
    <row r="108" spans="1:10" ht="15" customHeight="1" x14ac:dyDescent="0.15">
      <c r="A108" t="s">
        <v>12</v>
      </c>
      <c r="B108" t="s">
        <v>13</v>
      </c>
      <c r="C108" s="1" t="s">
        <v>120</v>
      </c>
      <c r="D108" s="4">
        <v>18.920000000000002</v>
      </c>
      <c r="E108" s="4">
        <v>19.04</v>
      </c>
      <c r="F108" s="4">
        <v>18.71</v>
      </c>
      <c r="G108" s="4">
        <v>18.8</v>
      </c>
      <c r="H108" s="4">
        <v>1152033</v>
      </c>
      <c r="I108" s="4">
        <v>4154.22</v>
      </c>
      <c r="J108" s="4">
        <v>220969233</v>
      </c>
    </row>
    <row r="109" spans="1:10" ht="15" customHeight="1" x14ac:dyDescent="0.15">
      <c r="A109" t="s">
        <v>12</v>
      </c>
      <c r="B109" t="s">
        <v>13</v>
      </c>
      <c r="C109" s="1" t="s">
        <v>121</v>
      </c>
      <c r="D109" s="4">
        <v>18.829999999999998</v>
      </c>
      <c r="E109" s="4">
        <v>19.16</v>
      </c>
      <c r="F109" s="4">
        <v>18.82</v>
      </c>
      <c r="G109" s="4">
        <v>19.16</v>
      </c>
      <c r="H109" s="4">
        <v>1156782</v>
      </c>
      <c r="I109" s="4">
        <v>4233.79</v>
      </c>
      <c r="J109" s="4">
        <v>220970484</v>
      </c>
    </row>
    <row r="110" spans="1:10" ht="15" customHeight="1" x14ac:dyDescent="0.15">
      <c r="A110" t="s">
        <v>12</v>
      </c>
      <c r="B110" t="s">
        <v>13</v>
      </c>
      <c r="C110" s="1" t="s">
        <v>122</v>
      </c>
      <c r="D110" s="4">
        <v>19.2</v>
      </c>
      <c r="E110" s="4">
        <v>19.27</v>
      </c>
      <c r="F110" s="4">
        <v>19.04</v>
      </c>
      <c r="G110" s="4">
        <v>19.2</v>
      </c>
      <c r="H110" s="4">
        <v>942827</v>
      </c>
      <c r="I110" s="4">
        <v>4242.63</v>
      </c>
      <c r="J110" s="4">
        <v>220970484</v>
      </c>
    </row>
    <row r="111" spans="1:10" ht="15" customHeight="1" x14ac:dyDescent="0.15">
      <c r="A111" t="s">
        <v>12</v>
      </c>
      <c r="B111" t="s">
        <v>13</v>
      </c>
      <c r="C111" s="1" t="s">
        <v>123</v>
      </c>
      <c r="D111" s="4">
        <v>19.260000000000002</v>
      </c>
      <c r="E111" s="4">
        <v>19.5</v>
      </c>
      <c r="F111" s="4">
        <v>19.239999999999998</v>
      </c>
      <c r="G111" s="4">
        <v>19.38</v>
      </c>
      <c r="H111" s="4">
        <v>732356</v>
      </c>
      <c r="I111" s="4">
        <v>4282.41</v>
      </c>
      <c r="J111" s="4">
        <v>220970484</v>
      </c>
    </row>
    <row r="112" spans="1:10" ht="15" customHeight="1" x14ac:dyDescent="0.15">
      <c r="A112" t="s">
        <v>12</v>
      </c>
      <c r="B112" t="s">
        <v>13</v>
      </c>
      <c r="C112" s="1" t="s">
        <v>124</v>
      </c>
      <c r="D112" s="4">
        <v>19.29</v>
      </c>
      <c r="E112" s="4">
        <v>19.68</v>
      </c>
      <c r="F112" s="4">
        <v>19.27</v>
      </c>
      <c r="G112" s="4">
        <v>19.53</v>
      </c>
      <c r="H112" s="4">
        <v>1031875</v>
      </c>
      <c r="I112" s="4">
        <v>4316.18</v>
      </c>
      <c r="J112" s="4">
        <v>221002482</v>
      </c>
    </row>
    <row r="113" spans="1:10" ht="15" customHeight="1" x14ac:dyDescent="0.15">
      <c r="A113" t="s">
        <v>12</v>
      </c>
      <c r="B113" t="s">
        <v>13</v>
      </c>
      <c r="C113" s="1" t="s">
        <v>125</v>
      </c>
      <c r="D113" s="4">
        <v>19.579999999999998</v>
      </c>
      <c r="E113" s="4">
        <v>19.63</v>
      </c>
      <c r="F113" s="4">
        <v>19.149999999999999</v>
      </c>
      <c r="G113" s="4">
        <v>19.190000000000001</v>
      </c>
      <c r="H113" s="4">
        <v>812650</v>
      </c>
      <c r="I113" s="4">
        <v>4241.04</v>
      </c>
      <c r="J113" s="4">
        <v>221002482</v>
      </c>
    </row>
    <row r="114" spans="1:10" ht="15" customHeight="1" x14ac:dyDescent="0.15">
      <c r="A114" t="s">
        <v>12</v>
      </c>
      <c r="B114" t="s">
        <v>13</v>
      </c>
      <c r="C114" s="1" t="s">
        <v>126</v>
      </c>
      <c r="D114" s="4">
        <v>19.399999999999999</v>
      </c>
      <c r="E114" s="4">
        <v>19.48</v>
      </c>
      <c r="F114" s="4">
        <v>19.22</v>
      </c>
      <c r="G114" s="4">
        <v>19.27</v>
      </c>
      <c r="H114" s="4">
        <v>349371</v>
      </c>
      <c r="I114" s="4">
        <v>4258.72</v>
      </c>
      <c r="J114" s="4">
        <v>221002482</v>
      </c>
    </row>
    <row r="115" spans="1:10" ht="15" customHeight="1" x14ac:dyDescent="0.15">
      <c r="A115" t="s">
        <v>12</v>
      </c>
      <c r="B115" t="s">
        <v>13</v>
      </c>
      <c r="C115" s="1" t="s">
        <v>127</v>
      </c>
      <c r="D115" s="4">
        <v>19.25</v>
      </c>
      <c r="E115" s="4">
        <v>19.600000000000001</v>
      </c>
      <c r="F115" s="4">
        <v>19.100000000000001</v>
      </c>
      <c r="G115" s="4">
        <v>19.57</v>
      </c>
      <c r="H115" s="4">
        <v>701116</v>
      </c>
      <c r="I115" s="4">
        <v>4325.0200000000004</v>
      </c>
      <c r="J115" s="4">
        <v>221002482</v>
      </c>
    </row>
    <row r="116" spans="1:10" ht="15" customHeight="1" x14ac:dyDescent="0.15">
      <c r="A116" t="s">
        <v>12</v>
      </c>
      <c r="B116" t="s">
        <v>13</v>
      </c>
      <c r="C116" s="1" t="s">
        <v>128</v>
      </c>
      <c r="D116" s="4">
        <v>19.5</v>
      </c>
      <c r="E116" s="4">
        <v>19.61</v>
      </c>
      <c r="F116" s="4">
        <v>19.36</v>
      </c>
      <c r="G116" s="4">
        <v>19.54</v>
      </c>
      <c r="H116" s="4">
        <v>653639</v>
      </c>
      <c r="I116" s="4">
        <v>4318.3900000000003</v>
      </c>
      <c r="J116" s="4">
        <v>221002482</v>
      </c>
    </row>
    <row r="117" spans="1:10" ht="15" customHeight="1" x14ac:dyDescent="0.15">
      <c r="A117" t="s">
        <v>12</v>
      </c>
      <c r="B117" t="s">
        <v>13</v>
      </c>
      <c r="C117" s="1" t="s">
        <v>129</v>
      </c>
      <c r="D117" s="4">
        <v>19.68</v>
      </c>
      <c r="E117" s="4">
        <v>19.95</v>
      </c>
      <c r="F117" s="4">
        <v>19.670000000000002</v>
      </c>
      <c r="G117" s="4">
        <v>19.940000000000001</v>
      </c>
      <c r="H117" s="4">
        <v>663715</v>
      </c>
      <c r="I117" s="4">
        <v>4406.79</v>
      </c>
      <c r="J117" s="4">
        <v>221002482</v>
      </c>
    </row>
    <row r="118" spans="1:10" ht="15" customHeight="1" x14ac:dyDescent="0.15">
      <c r="A118" t="s">
        <v>12</v>
      </c>
      <c r="B118" t="s">
        <v>13</v>
      </c>
      <c r="C118" s="1" t="s">
        <v>130</v>
      </c>
      <c r="D118" s="4">
        <v>19.98</v>
      </c>
      <c r="E118" s="4">
        <v>19.98</v>
      </c>
      <c r="F118" s="4">
        <v>19.739999999999998</v>
      </c>
      <c r="G118" s="4">
        <v>19.88</v>
      </c>
      <c r="H118" s="4">
        <v>600422</v>
      </c>
      <c r="I118" s="4">
        <v>4393.53</v>
      </c>
      <c r="J118" s="4">
        <v>221002482</v>
      </c>
    </row>
    <row r="119" spans="1:10" ht="15" customHeight="1" x14ac:dyDescent="0.15">
      <c r="A119" t="s">
        <v>12</v>
      </c>
      <c r="B119" t="s">
        <v>13</v>
      </c>
      <c r="C119" s="1" t="s">
        <v>131</v>
      </c>
      <c r="D119" s="4">
        <v>19.829999999999998</v>
      </c>
      <c r="E119" s="4">
        <v>19.98</v>
      </c>
      <c r="F119" s="4">
        <v>19.78</v>
      </c>
      <c r="G119" s="4">
        <v>19.829999999999998</v>
      </c>
      <c r="H119" s="4">
        <v>462266</v>
      </c>
      <c r="I119" s="4">
        <v>4382.4799999999996</v>
      </c>
      <c r="J119" s="4">
        <v>221002482</v>
      </c>
    </row>
    <row r="120" spans="1:10" ht="15" customHeight="1" x14ac:dyDescent="0.15">
      <c r="A120" t="s">
        <v>12</v>
      </c>
      <c r="B120" t="s">
        <v>13</v>
      </c>
      <c r="C120" s="1" t="s">
        <v>132</v>
      </c>
      <c r="D120" s="4">
        <v>19.86</v>
      </c>
      <c r="E120" s="4">
        <v>19.98</v>
      </c>
      <c r="F120" s="4">
        <v>19.79</v>
      </c>
      <c r="G120" s="4">
        <v>19.8</v>
      </c>
      <c r="H120" s="4">
        <v>3324301</v>
      </c>
      <c r="I120" s="4">
        <v>4375.8500000000004</v>
      </c>
      <c r="J120" s="4">
        <v>221002482</v>
      </c>
    </row>
    <row r="121" spans="1:10" ht="15" customHeight="1" x14ac:dyDescent="0.15">
      <c r="A121" t="s">
        <v>12</v>
      </c>
      <c r="B121" t="s">
        <v>13</v>
      </c>
      <c r="C121" s="1" t="s">
        <v>133</v>
      </c>
      <c r="D121" s="4">
        <v>19.850000000000001</v>
      </c>
      <c r="E121" s="4">
        <v>19.899999999999999</v>
      </c>
      <c r="F121" s="4">
        <v>19.489999999999998</v>
      </c>
      <c r="G121" s="4">
        <v>19.649999999999999</v>
      </c>
      <c r="H121" s="4">
        <v>719743</v>
      </c>
      <c r="I121" s="4">
        <v>4342.7</v>
      </c>
      <c r="J121" s="4">
        <v>221002482</v>
      </c>
    </row>
    <row r="122" spans="1:10" ht="15" customHeight="1" x14ac:dyDescent="0.15">
      <c r="A122" t="s">
        <v>12</v>
      </c>
      <c r="B122" t="s">
        <v>13</v>
      </c>
      <c r="C122" s="1" t="s">
        <v>134</v>
      </c>
      <c r="D122" s="4">
        <v>19.82</v>
      </c>
      <c r="E122" s="4">
        <v>19.940000000000001</v>
      </c>
      <c r="F122" s="4">
        <v>19.600000000000001</v>
      </c>
      <c r="G122" s="4">
        <v>19.940000000000001</v>
      </c>
      <c r="H122" s="4">
        <v>518389</v>
      </c>
      <c r="I122" s="4">
        <v>4406.79</v>
      </c>
      <c r="J122" s="4">
        <v>221002482</v>
      </c>
    </row>
    <row r="123" spans="1:10" ht="15" customHeight="1" x14ac:dyDescent="0.15">
      <c r="A123" t="s">
        <v>12</v>
      </c>
      <c r="B123" t="s">
        <v>13</v>
      </c>
      <c r="C123" s="1" t="s">
        <v>135</v>
      </c>
      <c r="D123" s="4">
        <v>19.809999999999999</v>
      </c>
      <c r="E123" s="4">
        <v>19.91</v>
      </c>
      <c r="F123" s="4">
        <v>19.53</v>
      </c>
      <c r="G123" s="4">
        <v>19.91</v>
      </c>
      <c r="H123" s="4">
        <v>637654</v>
      </c>
      <c r="I123" s="4">
        <v>4400.16</v>
      </c>
      <c r="J123" s="4">
        <v>221002482</v>
      </c>
    </row>
    <row r="124" spans="1:10" ht="15" customHeight="1" x14ac:dyDescent="0.15">
      <c r="A124" t="s">
        <v>12</v>
      </c>
      <c r="B124" t="s">
        <v>13</v>
      </c>
      <c r="C124" s="1" t="s">
        <v>136</v>
      </c>
      <c r="D124" s="4">
        <v>19.62</v>
      </c>
      <c r="E124" s="4">
        <v>20.04</v>
      </c>
      <c r="F124" s="4">
        <v>19.5</v>
      </c>
      <c r="G124" s="4">
        <v>20.04</v>
      </c>
      <c r="H124" s="4">
        <v>765277</v>
      </c>
      <c r="I124" s="4">
        <v>4428.8900000000003</v>
      </c>
      <c r="J124" s="4">
        <v>221002482</v>
      </c>
    </row>
    <row r="125" spans="1:10" ht="15" customHeight="1" x14ac:dyDescent="0.15">
      <c r="A125" t="s">
        <v>12</v>
      </c>
      <c r="B125" t="s">
        <v>13</v>
      </c>
      <c r="C125" s="1" t="s">
        <v>137</v>
      </c>
      <c r="D125" s="4">
        <v>20.05</v>
      </c>
      <c r="E125" s="4">
        <v>20.2</v>
      </c>
      <c r="F125" s="4">
        <v>19.95</v>
      </c>
      <c r="G125" s="4">
        <v>20.18</v>
      </c>
      <c r="H125" s="4">
        <v>850210</v>
      </c>
      <c r="I125" s="4">
        <v>4459.83</v>
      </c>
      <c r="J125" s="4">
        <v>221002482</v>
      </c>
    </row>
    <row r="126" spans="1:10" ht="15" customHeight="1" x14ac:dyDescent="0.15">
      <c r="A126" t="s">
        <v>12</v>
      </c>
      <c r="B126" t="s">
        <v>13</v>
      </c>
      <c r="C126" s="1" t="s">
        <v>138</v>
      </c>
      <c r="D126" s="4">
        <v>20.079999999999998</v>
      </c>
      <c r="E126" s="4">
        <v>20.09</v>
      </c>
      <c r="F126" s="4">
        <v>19.75</v>
      </c>
      <c r="G126" s="4">
        <v>19.82</v>
      </c>
      <c r="H126" s="4">
        <v>525529</v>
      </c>
      <c r="I126" s="4">
        <v>4380.2700000000004</v>
      </c>
      <c r="J126" s="4">
        <v>221002482</v>
      </c>
    </row>
    <row r="127" spans="1:10" ht="15" customHeight="1" x14ac:dyDescent="0.15">
      <c r="A127" t="s">
        <v>12</v>
      </c>
      <c r="B127" t="s">
        <v>13</v>
      </c>
      <c r="C127" s="1" t="s">
        <v>139</v>
      </c>
      <c r="D127" s="4">
        <v>19.78</v>
      </c>
      <c r="E127" s="4">
        <v>19.989999999999998</v>
      </c>
      <c r="F127" s="4">
        <v>19.62</v>
      </c>
      <c r="G127" s="4">
        <v>19.989999999999998</v>
      </c>
      <c r="H127" s="4">
        <v>553735</v>
      </c>
      <c r="I127" s="4">
        <v>4417.84</v>
      </c>
      <c r="J127" s="4">
        <v>221002482</v>
      </c>
    </row>
    <row r="128" spans="1:10" ht="15" customHeight="1" x14ac:dyDescent="0.15">
      <c r="A128" t="s">
        <v>12</v>
      </c>
      <c r="B128" t="s">
        <v>13</v>
      </c>
      <c r="C128" s="1" t="s">
        <v>140</v>
      </c>
      <c r="D128" s="4">
        <v>20.11</v>
      </c>
      <c r="E128" s="4">
        <v>20.66</v>
      </c>
      <c r="F128" s="4">
        <v>20.11</v>
      </c>
      <c r="G128" s="4">
        <v>20.63</v>
      </c>
      <c r="H128" s="4">
        <v>1495941</v>
      </c>
      <c r="I128" s="4">
        <v>4559.28</v>
      </c>
      <c r="J128" s="4">
        <v>221002482</v>
      </c>
    </row>
    <row r="129" spans="1:10" ht="15" customHeight="1" x14ac:dyDescent="0.15">
      <c r="A129" t="s">
        <v>12</v>
      </c>
      <c r="B129" t="s">
        <v>13</v>
      </c>
      <c r="C129" s="1" t="s">
        <v>141</v>
      </c>
      <c r="D129" s="4">
        <v>20.59</v>
      </c>
      <c r="E129" s="4">
        <v>21.02</v>
      </c>
      <c r="F129" s="4">
        <v>20.48</v>
      </c>
      <c r="G129" s="4">
        <v>21</v>
      </c>
      <c r="H129" s="4">
        <v>1434200</v>
      </c>
      <c r="I129" s="4">
        <v>4641.05</v>
      </c>
      <c r="J129" s="4">
        <v>221002482</v>
      </c>
    </row>
    <row r="130" spans="1:10" ht="15" customHeight="1" x14ac:dyDescent="0.15">
      <c r="A130" t="s">
        <v>12</v>
      </c>
      <c r="B130" t="s">
        <v>13</v>
      </c>
      <c r="C130" s="1" t="s">
        <v>142</v>
      </c>
      <c r="D130" s="4">
        <v>20.98</v>
      </c>
      <c r="E130" s="4">
        <v>21.58</v>
      </c>
      <c r="F130" s="4">
        <v>20.89</v>
      </c>
      <c r="G130" s="4">
        <v>21.5</v>
      </c>
      <c r="H130" s="4">
        <v>1158198</v>
      </c>
      <c r="I130" s="4">
        <v>4752.17</v>
      </c>
      <c r="J130" s="4">
        <v>221031333</v>
      </c>
    </row>
    <row r="131" spans="1:10" ht="15" customHeight="1" x14ac:dyDescent="0.15">
      <c r="A131" t="s">
        <v>12</v>
      </c>
      <c r="B131" t="s">
        <v>13</v>
      </c>
      <c r="C131" s="1" t="s">
        <v>143</v>
      </c>
      <c r="D131" s="4">
        <v>21.49</v>
      </c>
      <c r="E131" s="4">
        <v>21.49</v>
      </c>
      <c r="F131" s="4">
        <v>21.28</v>
      </c>
      <c r="G131" s="4">
        <v>21.36</v>
      </c>
      <c r="H131" s="4">
        <v>646778</v>
      </c>
      <c r="I131" s="4">
        <v>4721.2299999999996</v>
      </c>
      <c r="J131" s="4">
        <v>221031333</v>
      </c>
    </row>
    <row r="132" spans="1:10" ht="15" customHeight="1" x14ac:dyDescent="0.15">
      <c r="A132" t="s">
        <v>12</v>
      </c>
      <c r="B132" t="s">
        <v>13</v>
      </c>
      <c r="C132" s="1" t="s">
        <v>144</v>
      </c>
      <c r="D132" s="4">
        <v>21.3</v>
      </c>
      <c r="E132" s="4">
        <v>21.43</v>
      </c>
      <c r="F132" s="4">
        <v>20.9</v>
      </c>
      <c r="G132" s="4">
        <v>21.34</v>
      </c>
      <c r="H132" s="4">
        <v>1043989</v>
      </c>
      <c r="I132" s="4">
        <v>4716.8100000000004</v>
      </c>
      <c r="J132" s="4">
        <v>221031333</v>
      </c>
    </row>
    <row r="133" spans="1:10" ht="15" customHeight="1" x14ac:dyDescent="0.15">
      <c r="A133" t="s">
        <v>12</v>
      </c>
      <c r="B133" t="s">
        <v>13</v>
      </c>
      <c r="C133" s="1" t="s">
        <v>145</v>
      </c>
      <c r="D133" s="4">
        <v>21.3</v>
      </c>
      <c r="E133" s="4">
        <v>21.5</v>
      </c>
      <c r="F133" s="4">
        <v>21.21</v>
      </c>
      <c r="G133" s="4">
        <v>21.4</v>
      </c>
      <c r="H133" s="4">
        <v>668471</v>
      </c>
      <c r="I133" s="4">
        <v>4730.07</v>
      </c>
      <c r="J133" s="4">
        <v>221031333</v>
      </c>
    </row>
    <row r="134" spans="1:10" ht="15" customHeight="1" x14ac:dyDescent="0.15">
      <c r="A134" t="s">
        <v>12</v>
      </c>
      <c r="B134" t="s">
        <v>13</v>
      </c>
      <c r="C134" s="1" t="s">
        <v>146</v>
      </c>
      <c r="D134" s="4">
        <v>21.6</v>
      </c>
      <c r="E134" s="4">
        <v>21.684999999999999</v>
      </c>
      <c r="F134" s="4">
        <v>21.4</v>
      </c>
      <c r="G134" s="4">
        <v>21.61</v>
      </c>
      <c r="H134" s="4">
        <v>1385105</v>
      </c>
      <c r="I134" s="4">
        <v>4776.49</v>
      </c>
      <c r="J134" s="4">
        <v>221031333</v>
      </c>
    </row>
    <row r="135" spans="1:10" ht="15" customHeight="1" x14ac:dyDescent="0.15">
      <c r="A135" t="s">
        <v>12</v>
      </c>
      <c r="B135" t="s">
        <v>13</v>
      </c>
      <c r="C135" s="1" t="s">
        <v>147</v>
      </c>
      <c r="D135" s="4">
        <v>21.74</v>
      </c>
      <c r="E135" s="4">
        <v>22.05</v>
      </c>
      <c r="F135" s="4">
        <v>21.63</v>
      </c>
      <c r="G135" s="4">
        <v>21.95</v>
      </c>
      <c r="H135" s="4">
        <v>1449123</v>
      </c>
      <c r="I135" s="4">
        <v>4851.6400000000003</v>
      </c>
      <c r="J135" s="4">
        <v>221031333</v>
      </c>
    </row>
    <row r="136" spans="1:10" ht="15" customHeight="1" x14ac:dyDescent="0.15">
      <c r="A136" t="s">
        <v>12</v>
      </c>
      <c r="B136" t="s">
        <v>13</v>
      </c>
      <c r="C136" s="1" t="s">
        <v>148</v>
      </c>
      <c r="D136" s="4">
        <v>22.2</v>
      </c>
      <c r="E136" s="4">
        <v>22.61</v>
      </c>
      <c r="F136" s="4">
        <v>21.97</v>
      </c>
      <c r="G136" s="4">
        <v>22.56</v>
      </c>
      <c r="H136" s="4">
        <v>1252361</v>
      </c>
      <c r="I136" s="4">
        <v>4986.47</v>
      </c>
      <c r="J136" s="4">
        <v>221031333</v>
      </c>
    </row>
    <row r="137" spans="1:10" ht="15" customHeight="1" x14ac:dyDescent="0.15">
      <c r="A137" t="s">
        <v>12</v>
      </c>
      <c r="B137" t="s">
        <v>13</v>
      </c>
      <c r="C137" s="1" t="s">
        <v>149</v>
      </c>
      <c r="D137" s="4">
        <v>22.57</v>
      </c>
      <c r="E137" s="4">
        <v>22.6</v>
      </c>
      <c r="F137" s="4">
        <v>21.95</v>
      </c>
      <c r="G137" s="4">
        <v>22.04</v>
      </c>
      <c r="H137" s="4">
        <v>988346</v>
      </c>
      <c r="I137" s="4">
        <v>4871.53</v>
      </c>
      <c r="J137" s="4">
        <v>221031333</v>
      </c>
    </row>
    <row r="138" spans="1:10" ht="15" customHeight="1" x14ac:dyDescent="0.15">
      <c r="A138" t="s">
        <v>12</v>
      </c>
      <c r="B138" t="s">
        <v>13</v>
      </c>
      <c r="C138" s="1" t="s">
        <v>150</v>
      </c>
      <c r="D138" s="4">
        <v>22.37</v>
      </c>
      <c r="E138" s="4">
        <v>22.43</v>
      </c>
      <c r="F138" s="4">
        <v>22.13</v>
      </c>
      <c r="G138" s="4">
        <v>22.24</v>
      </c>
      <c r="H138" s="4">
        <v>716227</v>
      </c>
      <c r="I138" s="4">
        <v>4915.74</v>
      </c>
      <c r="J138" s="4">
        <v>221031333</v>
      </c>
    </row>
    <row r="139" spans="1:10" ht="15" customHeight="1" x14ac:dyDescent="0.15">
      <c r="A139" t="s">
        <v>12</v>
      </c>
      <c r="B139" t="s">
        <v>13</v>
      </c>
      <c r="C139" s="1" t="s">
        <v>151</v>
      </c>
      <c r="D139" s="4">
        <v>22.23</v>
      </c>
      <c r="E139" s="4">
        <v>22.29</v>
      </c>
      <c r="F139" s="4">
        <v>22.06</v>
      </c>
      <c r="G139" s="4">
        <v>22.19</v>
      </c>
      <c r="H139" s="4">
        <v>545665</v>
      </c>
      <c r="I139" s="4">
        <v>4904.6899999999996</v>
      </c>
      <c r="J139" s="4">
        <v>221031333</v>
      </c>
    </row>
    <row r="140" spans="1:10" ht="15" customHeight="1" x14ac:dyDescent="0.15">
      <c r="A140" t="s">
        <v>12</v>
      </c>
      <c r="B140" t="s">
        <v>13</v>
      </c>
      <c r="C140" s="1" t="s">
        <v>152</v>
      </c>
      <c r="D140" s="4">
        <v>22.34</v>
      </c>
      <c r="E140" s="4">
        <v>22.75</v>
      </c>
      <c r="F140" s="4">
        <v>22.22</v>
      </c>
      <c r="G140" s="4">
        <v>22.66</v>
      </c>
      <c r="H140" s="4">
        <v>1327132</v>
      </c>
      <c r="I140" s="4">
        <v>5008.57</v>
      </c>
      <c r="J140" s="4">
        <v>221031333</v>
      </c>
    </row>
    <row r="141" spans="1:10" ht="15" customHeight="1" x14ac:dyDescent="0.15">
      <c r="A141" t="s">
        <v>12</v>
      </c>
      <c r="B141" t="s">
        <v>13</v>
      </c>
      <c r="C141" s="1" t="s">
        <v>153</v>
      </c>
      <c r="D141" s="4">
        <v>22.78</v>
      </c>
      <c r="E141" s="4">
        <v>23.04</v>
      </c>
      <c r="F141" s="4">
        <v>22.67</v>
      </c>
      <c r="G141" s="4">
        <v>23</v>
      </c>
      <c r="H141" s="4">
        <v>1543790</v>
      </c>
      <c r="I141" s="4">
        <v>5083.72</v>
      </c>
      <c r="J141" s="4">
        <v>221031333</v>
      </c>
    </row>
    <row r="142" spans="1:10" ht="15" customHeight="1" x14ac:dyDescent="0.15">
      <c r="A142" t="s">
        <v>12</v>
      </c>
      <c r="B142" t="s">
        <v>13</v>
      </c>
      <c r="C142" s="1" t="s">
        <v>154</v>
      </c>
      <c r="D142" s="4">
        <v>23.01</v>
      </c>
      <c r="E142" s="4">
        <v>23.06</v>
      </c>
      <c r="F142" s="4">
        <v>22.81</v>
      </c>
      <c r="G142" s="4">
        <v>23.01</v>
      </c>
      <c r="H142" s="4">
        <v>929437</v>
      </c>
      <c r="I142" s="4">
        <v>5085.93</v>
      </c>
      <c r="J142" s="4">
        <v>221031333</v>
      </c>
    </row>
    <row r="143" spans="1:10" ht="15" customHeight="1" x14ac:dyDescent="0.15">
      <c r="A143" t="s">
        <v>12</v>
      </c>
      <c r="B143" t="s">
        <v>13</v>
      </c>
      <c r="C143" s="1" t="s">
        <v>155</v>
      </c>
      <c r="D143" s="4">
        <v>21.65</v>
      </c>
      <c r="E143" s="4">
        <v>22.42</v>
      </c>
      <c r="F143" s="4">
        <v>20.98</v>
      </c>
      <c r="G143" s="4">
        <v>21.92</v>
      </c>
      <c r="H143" s="4">
        <v>3785100</v>
      </c>
      <c r="I143" s="4">
        <v>4845.01</v>
      </c>
      <c r="J143" s="4">
        <v>221031333</v>
      </c>
    </row>
    <row r="144" spans="1:10" ht="15" customHeight="1" x14ac:dyDescent="0.15">
      <c r="A144" t="s">
        <v>12</v>
      </c>
      <c r="B144" t="s">
        <v>13</v>
      </c>
      <c r="C144" s="1" t="s">
        <v>156</v>
      </c>
      <c r="D144" s="4">
        <v>21.89</v>
      </c>
      <c r="E144" s="4">
        <v>22.09</v>
      </c>
      <c r="F144" s="4">
        <v>21.24</v>
      </c>
      <c r="G144" s="4">
        <v>21.3</v>
      </c>
      <c r="H144" s="4">
        <v>1207769</v>
      </c>
      <c r="I144" s="4">
        <v>4707.97</v>
      </c>
      <c r="J144" s="4">
        <v>221031333</v>
      </c>
    </row>
    <row r="145" spans="1:10" ht="15" customHeight="1" x14ac:dyDescent="0.15">
      <c r="A145" t="s">
        <v>12</v>
      </c>
      <c r="B145" t="s">
        <v>13</v>
      </c>
      <c r="C145" s="1" t="s">
        <v>157</v>
      </c>
      <c r="D145" s="4">
        <v>21.49</v>
      </c>
      <c r="E145" s="4">
        <v>21.62</v>
      </c>
      <c r="F145" s="4">
        <v>21.26</v>
      </c>
      <c r="G145" s="4">
        <v>21.4</v>
      </c>
      <c r="H145" s="4">
        <v>782536</v>
      </c>
      <c r="I145" s="4">
        <v>4730.07</v>
      </c>
      <c r="J145" s="4">
        <v>221031333</v>
      </c>
    </row>
    <row r="146" spans="1:10" ht="15" customHeight="1" x14ac:dyDescent="0.15">
      <c r="A146" t="s">
        <v>12</v>
      </c>
      <c r="B146" t="s">
        <v>13</v>
      </c>
      <c r="C146" s="1" t="s">
        <v>158</v>
      </c>
      <c r="D146" s="4">
        <v>21.63</v>
      </c>
      <c r="E146" s="4">
        <v>21.7</v>
      </c>
      <c r="F146" s="4">
        <v>21.41</v>
      </c>
      <c r="G146" s="4">
        <v>21.6</v>
      </c>
      <c r="H146" s="4">
        <v>580409</v>
      </c>
      <c r="I146" s="4">
        <v>4774.28</v>
      </c>
      <c r="J146" s="4">
        <v>221031333</v>
      </c>
    </row>
    <row r="147" spans="1:10" ht="15" customHeight="1" x14ac:dyDescent="0.15">
      <c r="A147" t="s">
        <v>12</v>
      </c>
      <c r="B147" t="s">
        <v>13</v>
      </c>
      <c r="C147" s="1" t="s">
        <v>159</v>
      </c>
      <c r="D147" s="4">
        <v>21.41</v>
      </c>
      <c r="E147" s="4">
        <v>21.66</v>
      </c>
      <c r="F147" s="4">
        <v>21.25</v>
      </c>
      <c r="G147" s="4">
        <v>21.56</v>
      </c>
      <c r="H147" s="4">
        <v>606895</v>
      </c>
      <c r="I147" s="4">
        <v>4765.4399999999996</v>
      </c>
      <c r="J147" s="4">
        <v>221031333</v>
      </c>
    </row>
    <row r="148" spans="1:10" ht="15" customHeight="1" x14ac:dyDescent="0.15">
      <c r="A148" t="s">
        <v>12</v>
      </c>
      <c r="B148" t="s">
        <v>13</v>
      </c>
      <c r="C148" s="1" t="s">
        <v>160</v>
      </c>
      <c r="D148" s="4">
        <v>21.68</v>
      </c>
      <c r="E148" s="4">
        <v>22.21</v>
      </c>
      <c r="F148" s="4">
        <v>21.52</v>
      </c>
      <c r="G148" s="4">
        <v>22.21</v>
      </c>
      <c r="H148" s="4">
        <v>874785</v>
      </c>
      <c r="I148" s="4">
        <v>4909.1099999999997</v>
      </c>
      <c r="J148" s="4">
        <v>221031333</v>
      </c>
    </row>
    <row r="149" spans="1:10" ht="15" customHeight="1" x14ac:dyDescent="0.15">
      <c r="A149" t="s">
        <v>12</v>
      </c>
      <c r="B149" t="s">
        <v>13</v>
      </c>
      <c r="C149" s="1" t="s">
        <v>161</v>
      </c>
      <c r="D149" s="4">
        <v>22.14</v>
      </c>
      <c r="E149" s="4">
        <v>22.25</v>
      </c>
      <c r="F149" s="4">
        <v>21.66</v>
      </c>
      <c r="G149" s="4">
        <v>21.83</v>
      </c>
      <c r="H149" s="4">
        <v>907279</v>
      </c>
      <c r="I149" s="4">
        <v>4825.1099999999997</v>
      </c>
      <c r="J149" s="4">
        <v>221031333</v>
      </c>
    </row>
    <row r="150" spans="1:10" ht="15" customHeight="1" x14ac:dyDescent="0.15">
      <c r="A150" t="s">
        <v>12</v>
      </c>
      <c r="B150" t="s">
        <v>13</v>
      </c>
      <c r="C150" s="1" t="s">
        <v>162</v>
      </c>
      <c r="D150" s="4">
        <v>21.42</v>
      </c>
      <c r="E150" s="4">
        <v>21.47</v>
      </c>
      <c r="F150" s="4">
        <v>21.08</v>
      </c>
      <c r="G150" s="4">
        <v>21.11</v>
      </c>
      <c r="H150" s="4">
        <v>1043072</v>
      </c>
      <c r="I150" s="4">
        <v>4665.97</v>
      </c>
      <c r="J150" s="4">
        <v>221031333</v>
      </c>
    </row>
    <row r="151" spans="1:10" ht="15" customHeight="1" x14ac:dyDescent="0.15">
      <c r="A151" t="s">
        <v>12</v>
      </c>
      <c r="B151" t="s">
        <v>13</v>
      </c>
      <c r="C151" s="1" t="s">
        <v>163</v>
      </c>
      <c r="D151" s="4">
        <v>20.8</v>
      </c>
      <c r="E151" s="4">
        <v>20.99</v>
      </c>
      <c r="F151" s="4">
        <v>20.260000000000002</v>
      </c>
      <c r="G151" s="4">
        <v>20.350000000000001</v>
      </c>
      <c r="H151" s="4">
        <v>1133387</v>
      </c>
      <c r="I151" s="4">
        <v>4497.99</v>
      </c>
      <c r="J151" s="4">
        <v>221031333</v>
      </c>
    </row>
    <row r="152" spans="1:10" ht="15" customHeight="1" x14ac:dyDescent="0.15">
      <c r="A152" t="s">
        <v>12</v>
      </c>
      <c r="B152" t="s">
        <v>13</v>
      </c>
      <c r="C152" s="1" t="s">
        <v>164</v>
      </c>
      <c r="D152" s="4">
        <v>20.3</v>
      </c>
      <c r="E152" s="4">
        <v>20.635000000000002</v>
      </c>
      <c r="F152" s="4">
        <v>20.260000000000002</v>
      </c>
      <c r="G152" s="4">
        <v>20.47</v>
      </c>
      <c r="H152" s="4">
        <v>980007</v>
      </c>
      <c r="I152" s="4">
        <v>4524.51</v>
      </c>
      <c r="J152" s="4">
        <v>221031333</v>
      </c>
    </row>
    <row r="153" spans="1:10" ht="15" customHeight="1" x14ac:dyDescent="0.15">
      <c r="A153" t="s">
        <v>12</v>
      </c>
      <c r="B153" t="s">
        <v>13</v>
      </c>
      <c r="C153" s="1" t="s">
        <v>165</v>
      </c>
      <c r="D153" s="4">
        <v>20.46</v>
      </c>
      <c r="E153" s="4">
        <v>20.46</v>
      </c>
      <c r="F153" s="4">
        <v>20.260000000000002</v>
      </c>
      <c r="G153" s="4">
        <v>20.329999999999998</v>
      </c>
      <c r="H153" s="4">
        <v>1338405</v>
      </c>
      <c r="I153" s="4">
        <v>4493.57</v>
      </c>
      <c r="J153" s="4">
        <v>221031333</v>
      </c>
    </row>
    <row r="154" spans="1:10" ht="15" customHeight="1" x14ac:dyDescent="0.15">
      <c r="A154" t="s">
        <v>12</v>
      </c>
      <c r="B154" t="s">
        <v>13</v>
      </c>
      <c r="C154" s="1" t="s">
        <v>166</v>
      </c>
      <c r="D154" s="4">
        <v>20.25</v>
      </c>
      <c r="E154" s="4">
        <v>20.37</v>
      </c>
      <c r="F154" s="4">
        <v>20.12</v>
      </c>
      <c r="G154" s="4">
        <v>20.350000000000001</v>
      </c>
      <c r="H154" s="4">
        <v>679645</v>
      </c>
      <c r="I154" s="4">
        <v>4498.54</v>
      </c>
      <c r="J154" s="4">
        <v>221058444</v>
      </c>
    </row>
    <row r="155" spans="1:10" ht="15" customHeight="1" x14ac:dyDescent="0.15">
      <c r="A155" t="s">
        <v>12</v>
      </c>
      <c r="B155" t="s">
        <v>13</v>
      </c>
      <c r="C155" s="1" t="s">
        <v>167</v>
      </c>
      <c r="D155" s="4">
        <v>20.5</v>
      </c>
      <c r="E155" s="4">
        <v>20.5</v>
      </c>
      <c r="F155" s="4">
        <v>20.100000000000001</v>
      </c>
      <c r="G155" s="4">
        <v>20.239999999999998</v>
      </c>
      <c r="H155" s="4">
        <v>1931282</v>
      </c>
      <c r="I155" s="4">
        <v>4474.22</v>
      </c>
      <c r="J155" s="4">
        <v>221058444</v>
      </c>
    </row>
    <row r="156" spans="1:10" ht="15" customHeight="1" x14ac:dyDescent="0.15">
      <c r="A156" t="s">
        <v>12</v>
      </c>
      <c r="B156" t="s">
        <v>13</v>
      </c>
      <c r="C156" s="1" t="s">
        <v>168</v>
      </c>
      <c r="D156" s="4">
        <v>20.399999999999999</v>
      </c>
      <c r="E156" s="4">
        <v>20.54</v>
      </c>
      <c r="F156" s="4">
        <v>20.25</v>
      </c>
      <c r="G156" s="4">
        <v>20.54</v>
      </c>
      <c r="H156" s="4">
        <v>990000</v>
      </c>
      <c r="I156" s="4">
        <v>4540.54</v>
      </c>
      <c r="J156" s="4">
        <v>221058444</v>
      </c>
    </row>
    <row r="157" spans="1:10" ht="15" customHeight="1" x14ac:dyDescent="0.15">
      <c r="A157" t="s">
        <v>12</v>
      </c>
      <c r="B157" t="s">
        <v>13</v>
      </c>
      <c r="C157" s="1" t="s">
        <v>169</v>
      </c>
      <c r="D157" s="4">
        <v>20.45</v>
      </c>
      <c r="E157" s="4">
        <v>20.5</v>
      </c>
      <c r="F157" s="4">
        <v>20.149999999999999</v>
      </c>
      <c r="G157" s="4">
        <v>20.239999999999998</v>
      </c>
      <c r="H157" s="4">
        <v>868794</v>
      </c>
      <c r="I157" s="4">
        <v>4474.22</v>
      </c>
      <c r="J157" s="4">
        <v>221058444</v>
      </c>
    </row>
    <row r="158" spans="1:10" ht="15" customHeight="1" x14ac:dyDescent="0.15">
      <c r="A158" t="s">
        <v>12</v>
      </c>
      <c r="B158" t="s">
        <v>13</v>
      </c>
      <c r="C158" s="1" t="s">
        <v>170</v>
      </c>
      <c r="D158" s="4">
        <v>20.5</v>
      </c>
      <c r="E158" s="4">
        <v>20.5</v>
      </c>
      <c r="F158" s="4">
        <v>20.2</v>
      </c>
      <c r="G158" s="4">
        <v>20.41</v>
      </c>
      <c r="H158" s="4">
        <v>1032344</v>
      </c>
      <c r="I158" s="4">
        <v>4511.8</v>
      </c>
      <c r="J158" s="4">
        <v>221058444</v>
      </c>
    </row>
    <row r="159" spans="1:10" ht="15" customHeight="1" x14ac:dyDescent="0.15">
      <c r="A159" t="s">
        <v>12</v>
      </c>
      <c r="B159" t="s">
        <v>13</v>
      </c>
      <c r="C159" s="1" t="s">
        <v>171</v>
      </c>
      <c r="D159" s="4">
        <v>20.350000000000001</v>
      </c>
      <c r="E159" s="4">
        <v>20.65</v>
      </c>
      <c r="F159" s="4">
        <v>20.28</v>
      </c>
      <c r="G159" s="4">
        <v>20.48</v>
      </c>
      <c r="H159" s="4">
        <v>656109</v>
      </c>
      <c r="I159" s="4">
        <v>4527.28</v>
      </c>
      <c r="J159" s="4">
        <v>221058444</v>
      </c>
    </row>
    <row r="160" spans="1:10" ht="15" customHeight="1" x14ac:dyDescent="0.15">
      <c r="A160" t="s">
        <v>12</v>
      </c>
      <c r="B160" t="s">
        <v>13</v>
      </c>
      <c r="C160" s="1" t="s">
        <v>172</v>
      </c>
      <c r="D160" s="4">
        <v>20.63</v>
      </c>
      <c r="E160" s="4">
        <v>20.7</v>
      </c>
      <c r="F160" s="4">
        <v>20.190000000000001</v>
      </c>
      <c r="G160" s="4">
        <v>20.399999999999999</v>
      </c>
      <c r="H160" s="4">
        <v>1278903</v>
      </c>
      <c r="I160" s="4">
        <v>4509.59</v>
      </c>
      <c r="J160" s="4">
        <v>221058444</v>
      </c>
    </row>
    <row r="161" spans="1:10" ht="15" customHeight="1" x14ac:dyDescent="0.15">
      <c r="A161" t="s">
        <v>12</v>
      </c>
      <c r="B161" t="s">
        <v>13</v>
      </c>
      <c r="C161" s="1" t="s">
        <v>173</v>
      </c>
      <c r="D161" s="4">
        <v>20.3</v>
      </c>
      <c r="E161" s="4">
        <v>20.36</v>
      </c>
      <c r="F161" s="4">
        <v>20</v>
      </c>
      <c r="G161" s="4">
        <v>20.25</v>
      </c>
      <c r="H161" s="4">
        <v>1006672</v>
      </c>
      <c r="I161" s="4">
        <v>4476.43</v>
      </c>
      <c r="J161" s="4">
        <v>221058444</v>
      </c>
    </row>
    <row r="162" spans="1:10" ht="15" customHeight="1" x14ac:dyDescent="0.15">
      <c r="A162" t="s">
        <v>12</v>
      </c>
      <c r="B162" t="s">
        <v>13</v>
      </c>
      <c r="C162" s="1" t="s">
        <v>174</v>
      </c>
      <c r="D162" s="4">
        <v>20.260000000000002</v>
      </c>
      <c r="E162" s="4">
        <v>20.34</v>
      </c>
      <c r="F162" s="4">
        <v>19.98</v>
      </c>
      <c r="G162" s="4">
        <v>20.21</v>
      </c>
      <c r="H162" s="4">
        <v>934745</v>
      </c>
      <c r="I162" s="4">
        <v>4467.59</v>
      </c>
      <c r="J162" s="4">
        <v>221058444</v>
      </c>
    </row>
    <row r="163" spans="1:10" ht="15" customHeight="1" x14ac:dyDescent="0.15">
      <c r="A163" t="s">
        <v>12</v>
      </c>
      <c r="B163" t="s">
        <v>13</v>
      </c>
      <c r="C163" s="1" t="s">
        <v>175</v>
      </c>
      <c r="D163" s="4">
        <v>20.09</v>
      </c>
      <c r="E163" s="4">
        <v>20.18</v>
      </c>
      <c r="F163" s="4">
        <v>19.649999999999999</v>
      </c>
      <c r="G163" s="4">
        <v>20.12</v>
      </c>
      <c r="H163" s="4">
        <v>1320032</v>
      </c>
      <c r="I163" s="4">
        <v>4447.7</v>
      </c>
      <c r="J163" s="4">
        <v>221058444</v>
      </c>
    </row>
    <row r="164" spans="1:10" ht="15" customHeight="1" x14ac:dyDescent="0.15">
      <c r="A164" t="s">
        <v>12</v>
      </c>
      <c r="B164" t="s">
        <v>13</v>
      </c>
      <c r="C164" s="1" t="s">
        <v>176</v>
      </c>
      <c r="D164" s="4">
        <v>20.2</v>
      </c>
      <c r="E164" s="4">
        <v>20.2</v>
      </c>
      <c r="F164" s="4">
        <v>19.600000000000001</v>
      </c>
      <c r="G164" s="4">
        <v>19.600000000000001</v>
      </c>
      <c r="H164" s="4">
        <v>1257775</v>
      </c>
      <c r="I164" s="4">
        <v>4332.75</v>
      </c>
      <c r="J164" s="4">
        <v>221058444</v>
      </c>
    </row>
    <row r="165" spans="1:10" ht="15" customHeight="1" x14ac:dyDescent="0.15">
      <c r="A165" t="s">
        <v>12</v>
      </c>
      <c r="B165" t="s">
        <v>13</v>
      </c>
      <c r="C165" s="1" t="s">
        <v>177</v>
      </c>
      <c r="D165" s="4">
        <v>19.64</v>
      </c>
      <c r="E165" s="4">
        <v>19.97</v>
      </c>
      <c r="F165" s="4">
        <v>19.61</v>
      </c>
      <c r="G165" s="4">
        <v>19.97</v>
      </c>
      <c r="H165" s="4">
        <v>817175</v>
      </c>
      <c r="I165" s="4">
        <v>4414.54</v>
      </c>
      <c r="J165" s="4">
        <v>221058444</v>
      </c>
    </row>
    <row r="166" spans="1:10" ht="15" customHeight="1" x14ac:dyDescent="0.15">
      <c r="A166" t="s">
        <v>12</v>
      </c>
      <c r="B166" t="s">
        <v>13</v>
      </c>
      <c r="C166" s="1" t="s">
        <v>178</v>
      </c>
      <c r="D166" s="4">
        <v>20.100000000000001</v>
      </c>
      <c r="E166" s="4">
        <v>20.13</v>
      </c>
      <c r="F166" s="4">
        <v>19.47</v>
      </c>
      <c r="G166" s="4">
        <v>19.649999999999999</v>
      </c>
      <c r="H166" s="4">
        <v>1603158</v>
      </c>
      <c r="I166" s="4">
        <v>4343.8</v>
      </c>
      <c r="J166" s="4">
        <v>221058444</v>
      </c>
    </row>
    <row r="167" spans="1:10" ht="15" customHeight="1" x14ac:dyDescent="0.15">
      <c r="A167" t="s">
        <v>12</v>
      </c>
      <c r="B167" t="s">
        <v>13</v>
      </c>
      <c r="C167" s="1" t="s">
        <v>179</v>
      </c>
      <c r="D167" s="4">
        <v>19.43</v>
      </c>
      <c r="E167" s="4">
        <v>19.489999999999998</v>
      </c>
      <c r="F167" s="4">
        <v>19.09</v>
      </c>
      <c r="G167" s="4">
        <v>19.329999999999998</v>
      </c>
      <c r="H167" s="4">
        <v>2061090</v>
      </c>
      <c r="I167" s="4">
        <v>4273.0600000000004</v>
      </c>
      <c r="J167" s="4">
        <v>221058444</v>
      </c>
    </row>
    <row r="168" spans="1:10" ht="15" customHeight="1" x14ac:dyDescent="0.15">
      <c r="A168" t="s">
        <v>12</v>
      </c>
      <c r="B168" t="s">
        <v>13</v>
      </c>
      <c r="C168" s="1" t="s">
        <v>180</v>
      </c>
      <c r="D168" s="4">
        <v>19.760000000000002</v>
      </c>
      <c r="E168" s="4">
        <v>20.059999999999999</v>
      </c>
      <c r="F168" s="4">
        <v>19.32</v>
      </c>
      <c r="G168" s="4">
        <v>20.05</v>
      </c>
      <c r="H168" s="4">
        <v>2669489</v>
      </c>
      <c r="I168" s="4">
        <v>4432.22</v>
      </c>
      <c r="J168" s="4">
        <v>221058444</v>
      </c>
    </row>
    <row r="169" spans="1:10" ht="15" customHeight="1" x14ac:dyDescent="0.15">
      <c r="A169" t="s">
        <v>12</v>
      </c>
      <c r="B169" t="s">
        <v>13</v>
      </c>
      <c r="C169" s="1" t="s">
        <v>181</v>
      </c>
      <c r="D169" s="4">
        <v>20.420000000000002</v>
      </c>
      <c r="E169" s="4">
        <v>20.7</v>
      </c>
      <c r="F169" s="4">
        <v>20.28</v>
      </c>
      <c r="G169" s="4">
        <v>20.47</v>
      </c>
      <c r="H169" s="4">
        <v>2850937</v>
      </c>
      <c r="I169" s="4">
        <v>4525.07</v>
      </c>
      <c r="J169" s="4">
        <v>221058444</v>
      </c>
    </row>
    <row r="170" spans="1:10" ht="15" customHeight="1" x14ac:dyDescent="0.15">
      <c r="A170" t="s">
        <v>12</v>
      </c>
      <c r="B170" t="s">
        <v>13</v>
      </c>
      <c r="C170" s="1" t="s">
        <v>182</v>
      </c>
      <c r="D170" s="4">
        <v>20.420000000000002</v>
      </c>
      <c r="E170" s="4">
        <v>20.97</v>
      </c>
      <c r="F170" s="4">
        <v>20.3</v>
      </c>
      <c r="G170" s="4">
        <v>20.97</v>
      </c>
      <c r="H170" s="4">
        <v>1766320</v>
      </c>
      <c r="I170" s="4">
        <v>4635.6000000000004</v>
      </c>
      <c r="J170" s="4">
        <v>221058444</v>
      </c>
    </row>
    <row r="171" spans="1:10" ht="15" customHeight="1" x14ac:dyDescent="0.15">
      <c r="A171" t="s">
        <v>12</v>
      </c>
      <c r="B171" t="s">
        <v>13</v>
      </c>
      <c r="C171" s="1" t="s">
        <v>183</v>
      </c>
      <c r="D171" s="4">
        <v>20.88</v>
      </c>
      <c r="E171" s="4">
        <v>21.52</v>
      </c>
      <c r="F171" s="4">
        <v>20.88</v>
      </c>
      <c r="G171" s="4">
        <v>21.52</v>
      </c>
      <c r="H171" s="4">
        <v>1176965</v>
      </c>
      <c r="I171" s="4">
        <v>4757.18</v>
      </c>
      <c r="J171" s="4">
        <v>221058444</v>
      </c>
    </row>
    <row r="172" spans="1:10" ht="15" customHeight="1" x14ac:dyDescent="0.15">
      <c r="A172" t="s">
        <v>12</v>
      </c>
      <c r="B172" t="s">
        <v>13</v>
      </c>
      <c r="C172" s="1" t="s">
        <v>184</v>
      </c>
      <c r="D172" s="4">
        <v>21.28</v>
      </c>
      <c r="E172" s="4">
        <v>21.59</v>
      </c>
      <c r="F172" s="4">
        <v>21.2</v>
      </c>
      <c r="G172" s="4">
        <v>21.59</v>
      </c>
      <c r="H172" s="4">
        <v>864543</v>
      </c>
      <c r="I172" s="4">
        <v>4772.6499999999996</v>
      </c>
      <c r="J172" s="4">
        <v>221058444</v>
      </c>
    </row>
    <row r="173" spans="1:10" ht="15" customHeight="1" x14ac:dyDescent="0.15">
      <c r="A173" t="s">
        <v>12</v>
      </c>
      <c r="B173" t="s">
        <v>13</v>
      </c>
      <c r="C173" s="1" t="s">
        <v>185</v>
      </c>
      <c r="D173" s="4">
        <v>21.35</v>
      </c>
      <c r="E173" s="4">
        <v>21.41</v>
      </c>
      <c r="F173" s="4">
        <v>21.1</v>
      </c>
      <c r="G173" s="4">
        <v>21.19</v>
      </c>
      <c r="H173" s="4">
        <v>1401794</v>
      </c>
      <c r="I173" s="4">
        <v>4700.13</v>
      </c>
      <c r="J173" s="4">
        <v>221808706</v>
      </c>
    </row>
    <row r="174" spans="1:10" ht="15" customHeight="1" x14ac:dyDescent="0.15">
      <c r="A174" t="s">
        <v>12</v>
      </c>
      <c r="B174" t="s">
        <v>13</v>
      </c>
      <c r="C174" s="1" t="s">
        <v>186</v>
      </c>
      <c r="D174" s="4">
        <v>21.17</v>
      </c>
      <c r="E174" s="4">
        <v>21.39</v>
      </c>
      <c r="F174" s="4">
        <v>20.95</v>
      </c>
      <c r="G174" s="4">
        <v>21.05</v>
      </c>
      <c r="H174" s="4">
        <v>1151609</v>
      </c>
      <c r="I174" s="4">
        <v>4669.78</v>
      </c>
      <c r="J174" s="4">
        <v>221842149</v>
      </c>
    </row>
    <row r="175" spans="1:10" ht="15" customHeight="1" x14ac:dyDescent="0.15">
      <c r="A175" t="s">
        <v>12</v>
      </c>
      <c r="B175" t="s">
        <v>13</v>
      </c>
      <c r="C175" s="1" t="s">
        <v>187</v>
      </c>
      <c r="D175" s="4">
        <v>21.06</v>
      </c>
      <c r="E175" s="4">
        <v>21.114999999999998</v>
      </c>
      <c r="F175" s="4">
        <v>20.66</v>
      </c>
      <c r="G175" s="4">
        <v>20.81</v>
      </c>
      <c r="H175" s="4">
        <v>953685</v>
      </c>
      <c r="I175" s="4">
        <v>4616.54</v>
      </c>
      <c r="J175" s="4">
        <v>221842149</v>
      </c>
    </row>
    <row r="176" spans="1:10" ht="15" customHeight="1" x14ac:dyDescent="0.15">
      <c r="A176" t="s">
        <v>12</v>
      </c>
      <c r="B176" t="s">
        <v>13</v>
      </c>
      <c r="C176" s="1" t="s">
        <v>188</v>
      </c>
      <c r="D176" s="4">
        <v>20.5</v>
      </c>
      <c r="E176" s="4">
        <v>20.7</v>
      </c>
      <c r="F176" s="4">
        <v>20.350000000000001</v>
      </c>
      <c r="G176" s="4">
        <v>20.7</v>
      </c>
      <c r="H176" s="4">
        <v>1151573</v>
      </c>
      <c r="I176" s="4">
        <v>4592.13</v>
      </c>
      <c r="J176" s="4">
        <v>221842149</v>
      </c>
    </row>
    <row r="177" spans="1:10" ht="15" customHeight="1" x14ac:dyDescent="0.15">
      <c r="A177" t="s">
        <v>12</v>
      </c>
      <c r="B177" t="s">
        <v>13</v>
      </c>
      <c r="C177" s="1" t="s">
        <v>189</v>
      </c>
      <c r="D177" s="4">
        <v>20.81</v>
      </c>
      <c r="E177" s="4">
        <v>21.05</v>
      </c>
      <c r="F177" s="4">
        <v>20.56</v>
      </c>
      <c r="G177" s="4">
        <v>20.66</v>
      </c>
      <c r="H177" s="4">
        <v>1196014</v>
      </c>
      <c r="I177" s="4">
        <v>4583.26</v>
      </c>
      <c r="J177" s="4">
        <v>221842149</v>
      </c>
    </row>
    <row r="178" spans="1:10" ht="15" customHeight="1" x14ac:dyDescent="0.15">
      <c r="A178" t="s">
        <v>12</v>
      </c>
      <c r="B178" t="s">
        <v>13</v>
      </c>
      <c r="C178" s="1" t="s">
        <v>190</v>
      </c>
      <c r="D178" s="4">
        <v>20.69</v>
      </c>
      <c r="E178" s="4">
        <v>20.89</v>
      </c>
      <c r="F178" s="4">
        <v>20.420000000000002</v>
      </c>
      <c r="G178" s="4">
        <v>20.89</v>
      </c>
      <c r="H178" s="4">
        <v>1564752</v>
      </c>
      <c r="I178" s="4">
        <v>4634.28</v>
      </c>
      <c r="J178" s="4">
        <v>221842149</v>
      </c>
    </row>
    <row r="179" spans="1:10" ht="15" customHeight="1" x14ac:dyDescent="0.15">
      <c r="A179" t="s">
        <v>12</v>
      </c>
      <c r="B179" t="s">
        <v>13</v>
      </c>
      <c r="C179" s="1" t="s">
        <v>191</v>
      </c>
      <c r="D179" s="4">
        <v>20.98</v>
      </c>
      <c r="E179" s="4">
        <v>20.98</v>
      </c>
      <c r="F179" s="4">
        <v>20.5</v>
      </c>
      <c r="G179" s="4">
        <v>20.53</v>
      </c>
      <c r="H179" s="4">
        <v>982453</v>
      </c>
      <c r="I179" s="4">
        <v>4554.42</v>
      </c>
      <c r="J179" s="4">
        <v>221842149</v>
      </c>
    </row>
    <row r="180" spans="1:10" ht="15" customHeight="1" x14ac:dyDescent="0.15">
      <c r="A180" t="s">
        <v>12</v>
      </c>
      <c r="B180" t="s">
        <v>13</v>
      </c>
      <c r="C180" s="1" t="s">
        <v>192</v>
      </c>
      <c r="D180" s="4">
        <v>20.62</v>
      </c>
      <c r="E180" s="4">
        <v>20.91</v>
      </c>
      <c r="F180" s="4">
        <v>20.55</v>
      </c>
      <c r="G180" s="4">
        <v>20.66</v>
      </c>
      <c r="H180" s="4">
        <v>1238070</v>
      </c>
      <c r="I180" s="4">
        <v>4583.26</v>
      </c>
      <c r="J180" s="4">
        <v>221842149</v>
      </c>
    </row>
    <row r="181" spans="1:10" ht="15" customHeight="1" x14ac:dyDescent="0.15">
      <c r="A181" t="s">
        <v>12</v>
      </c>
      <c r="B181" t="s">
        <v>13</v>
      </c>
      <c r="C181" s="1" t="s">
        <v>193</v>
      </c>
      <c r="D181" s="4">
        <v>20.75</v>
      </c>
      <c r="E181" s="4">
        <v>20.88</v>
      </c>
      <c r="F181" s="4">
        <v>20.57</v>
      </c>
      <c r="G181" s="4">
        <v>20.7</v>
      </c>
      <c r="H181" s="4">
        <v>1188776</v>
      </c>
      <c r="I181" s="4">
        <v>4592.13</v>
      </c>
      <c r="J181" s="4">
        <v>221842149</v>
      </c>
    </row>
    <row r="182" spans="1:10" ht="15" customHeight="1" x14ac:dyDescent="0.15">
      <c r="A182" t="s">
        <v>12</v>
      </c>
      <c r="B182" t="s">
        <v>13</v>
      </c>
      <c r="C182" s="1" t="s">
        <v>194</v>
      </c>
      <c r="D182" s="4">
        <v>20.69</v>
      </c>
      <c r="E182" s="4">
        <v>20.85</v>
      </c>
      <c r="F182" s="4">
        <v>20.46</v>
      </c>
      <c r="G182" s="4">
        <v>20.85</v>
      </c>
      <c r="H182" s="4">
        <v>1169494</v>
      </c>
      <c r="I182" s="4">
        <v>4625.41</v>
      </c>
      <c r="J182" s="4">
        <v>221842149</v>
      </c>
    </row>
    <row r="183" spans="1:10" ht="15" customHeight="1" x14ac:dyDescent="0.15">
      <c r="A183" t="s">
        <v>12</v>
      </c>
      <c r="B183" t="s">
        <v>13</v>
      </c>
      <c r="C183" s="1" t="s">
        <v>195</v>
      </c>
      <c r="D183" s="4">
        <v>20.47</v>
      </c>
      <c r="E183" s="4">
        <v>20.84</v>
      </c>
      <c r="F183" s="4">
        <v>20.41</v>
      </c>
      <c r="G183" s="4">
        <v>20.76</v>
      </c>
      <c r="H183" s="4">
        <v>1223425</v>
      </c>
      <c r="I183" s="4">
        <v>4605.4399999999996</v>
      </c>
      <c r="J183" s="4">
        <v>221842149</v>
      </c>
    </row>
    <row r="184" spans="1:10" ht="15" customHeight="1" x14ac:dyDescent="0.15">
      <c r="A184" t="s">
        <v>12</v>
      </c>
      <c r="B184" t="s">
        <v>13</v>
      </c>
      <c r="C184" s="1" t="s">
        <v>196</v>
      </c>
      <c r="D184" s="4">
        <v>20.87</v>
      </c>
      <c r="E184" s="4">
        <v>21.51</v>
      </c>
      <c r="F184" s="4">
        <v>20.63</v>
      </c>
      <c r="G184" s="4">
        <v>21.43</v>
      </c>
      <c r="H184" s="4">
        <v>1263070</v>
      </c>
      <c r="I184" s="4">
        <v>4754.08</v>
      </c>
      <c r="J184" s="4">
        <v>221842149</v>
      </c>
    </row>
    <row r="185" spans="1:10" ht="15" customHeight="1" x14ac:dyDescent="0.15">
      <c r="A185" t="s">
        <v>12</v>
      </c>
      <c r="B185" t="s">
        <v>13</v>
      </c>
      <c r="C185" s="1" t="s">
        <v>197</v>
      </c>
      <c r="D185" s="4">
        <v>21.4</v>
      </c>
      <c r="E185" s="4">
        <v>21.91</v>
      </c>
      <c r="F185" s="4">
        <v>21.39</v>
      </c>
      <c r="G185" s="4">
        <v>21.91</v>
      </c>
      <c r="H185" s="4">
        <v>2705266</v>
      </c>
      <c r="I185" s="4">
        <v>4860.5600000000004</v>
      </c>
      <c r="J185" s="4">
        <v>221842149</v>
      </c>
    </row>
    <row r="186" spans="1:10" ht="15" customHeight="1" x14ac:dyDescent="0.15">
      <c r="A186" t="s">
        <v>12</v>
      </c>
      <c r="B186" t="s">
        <v>13</v>
      </c>
      <c r="C186" s="1" t="s">
        <v>198</v>
      </c>
      <c r="D186" s="4">
        <v>21.55</v>
      </c>
      <c r="E186" s="4">
        <v>21.55</v>
      </c>
      <c r="F186" s="4">
        <v>21.2</v>
      </c>
      <c r="G186" s="4">
        <v>21.48</v>
      </c>
      <c r="H186" s="4">
        <v>620524</v>
      </c>
      <c r="I186" s="4">
        <v>4765.24</v>
      </c>
      <c r="J186" s="4">
        <v>221845292</v>
      </c>
    </row>
    <row r="187" spans="1:10" ht="15" customHeight="1" x14ac:dyDescent="0.15">
      <c r="A187" t="s">
        <v>12</v>
      </c>
      <c r="B187" t="s">
        <v>13</v>
      </c>
      <c r="C187" s="1" t="s">
        <v>199</v>
      </c>
      <c r="D187" s="4">
        <v>21.48</v>
      </c>
      <c r="E187" s="4">
        <v>21.94</v>
      </c>
      <c r="F187" s="4">
        <v>21.37</v>
      </c>
      <c r="G187" s="4">
        <v>21.87</v>
      </c>
      <c r="H187" s="4">
        <v>1118918</v>
      </c>
      <c r="I187" s="4">
        <v>4851.76</v>
      </c>
      <c r="J187" s="4">
        <v>221845292</v>
      </c>
    </row>
    <row r="188" spans="1:10" ht="15" customHeight="1" x14ac:dyDescent="0.15">
      <c r="A188" t="s">
        <v>12</v>
      </c>
      <c r="B188" t="s">
        <v>13</v>
      </c>
      <c r="C188" s="1" t="s">
        <v>200</v>
      </c>
      <c r="D188" s="4">
        <v>21.87</v>
      </c>
      <c r="E188" s="4">
        <v>22.4</v>
      </c>
      <c r="F188" s="4">
        <v>21.72</v>
      </c>
      <c r="G188" s="4">
        <v>21.95</v>
      </c>
      <c r="H188" s="4">
        <v>1204085</v>
      </c>
      <c r="I188" s="4">
        <v>4869.5</v>
      </c>
      <c r="J188" s="4">
        <v>221845292</v>
      </c>
    </row>
    <row r="189" spans="1:10" ht="15" customHeight="1" x14ac:dyDescent="0.15">
      <c r="A189" t="s">
        <v>12</v>
      </c>
      <c r="B189" t="s">
        <v>13</v>
      </c>
      <c r="C189" s="1" t="s">
        <v>201</v>
      </c>
      <c r="D189" s="4">
        <v>21.95</v>
      </c>
      <c r="E189" s="4">
        <v>22.54</v>
      </c>
      <c r="F189" s="4">
        <v>21.9</v>
      </c>
      <c r="G189" s="4">
        <v>22.54</v>
      </c>
      <c r="H189" s="4">
        <v>1036660</v>
      </c>
      <c r="I189" s="4">
        <v>5000.3900000000003</v>
      </c>
      <c r="J189" s="4">
        <v>221845292</v>
      </c>
    </row>
    <row r="190" spans="1:10" ht="15" customHeight="1" x14ac:dyDescent="0.15">
      <c r="A190" t="s">
        <v>12</v>
      </c>
      <c r="B190" t="s">
        <v>13</v>
      </c>
      <c r="C190" s="1" t="s">
        <v>202</v>
      </c>
      <c r="D190" s="4">
        <v>22.54</v>
      </c>
      <c r="E190" s="4">
        <v>22.54</v>
      </c>
      <c r="F190" s="4">
        <v>22.31</v>
      </c>
      <c r="G190" s="4">
        <v>22.45</v>
      </c>
      <c r="H190" s="4">
        <v>753733</v>
      </c>
      <c r="I190" s="4">
        <v>4980.43</v>
      </c>
      <c r="J190" s="4">
        <v>221845292</v>
      </c>
    </row>
    <row r="191" spans="1:10" ht="15" customHeight="1" x14ac:dyDescent="0.15">
      <c r="A191" t="s">
        <v>12</v>
      </c>
      <c r="B191" t="s">
        <v>13</v>
      </c>
      <c r="C191" s="1" t="s">
        <v>203</v>
      </c>
      <c r="D191" s="4">
        <v>22.41</v>
      </c>
      <c r="E191" s="4">
        <v>22.59</v>
      </c>
      <c r="F191" s="4">
        <v>22.23</v>
      </c>
      <c r="G191" s="4">
        <v>22.35</v>
      </c>
      <c r="H191" s="4">
        <v>935053</v>
      </c>
      <c r="I191" s="4">
        <v>4958.24</v>
      </c>
      <c r="J191" s="4">
        <v>221845292</v>
      </c>
    </row>
    <row r="192" spans="1:10" ht="15" customHeight="1" x14ac:dyDescent="0.15">
      <c r="A192" t="s">
        <v>12</v>
      </c>
      <c r="B192" t="s">
        <v>13</v>
      </c>
      <c r="C192" s="1" t="s">
        <v>204</v>
      </c>
      <c r="D192" s="4">
        <v>22.18</v>
      </c>
      <c r="E192" s="4">
        <v>22.3</v>
      </c>
      <c r="F192" s="4">
        <v>21.94</v>
      </c>
      <c r="G192" s="4">
        <v>22.21</v>
      </c>
      <c r="H192" s="4">
        <v>739318</v>
      </c>
      <c r="I192" s="4">
        <v>4927.18</v>
      </c>
      <c r="J192" s="4">
        <v>221845292</v>
      </c>
    </row>
    <row r="193" spans="1:10" ht="15" customHeight="1" x14ac:dyDescent="0.15">
      <c r="A193" t="s">
        <v>12</v>
      </c>
      <c r="B193" t="s">
        <v>13</v>
      </c>
      <c r="C193" s="1" t="s">
        <v>205</v>
      </c>
      <c r="D193" s="4">
        <v>22.1</v>
      </c>
      <c r="E193" s="4">
        <v>22.19</v>
      </c>
      <c r="F193" s="4">
        <v>21.52</v>
      </c>
      <c r="G193" s="4">
        <v>21.68</v>
      </c>
      <c r="H193" s="4">
        <v>754242</v>
      </c>
      <c r="I193" s="4">
        <v>4809.6099999999997</v>
      </c>
      <c r="J193" s="4">
        <v>221845292</v>
      </c>
    </row>
    <row r="194" spans="1:10" ht="15" customHeight="1" x14ac:dyDescent="0.15">
      <c r="A194" t="s">
        <v>12</v>
      </c>
      <c r="B194" t="s">
        <v>13</v>
      </c>
      <c r="C194" s="1" t="s">
        <v>206</v>
      </c>
      <c r="D194" s="4">
        <v>21.76</v>
      </c>
      <c r="E194" s="4">
        <v>21.8</v>
      </c>
      <c r="F194" s="4">
        <v>21.53</v>
      </c>
      <c r="G194" s="4">
        <v>21.61</v>
      </c>
      <c r="H194" s="4">
        <v>713563</v>
      </c>
      <c r="I194" s="4">
        <v>4794.08</v>
      </c>
      <c r="J194" s="4">
        <v>221845292</v>
      </c>
    </row>
    <row r="195" spans="1:10" ht="15" customHeight="1" x14ac:dyDescent="0.15">
      <c r="A195" t="s">
        <v>12</v>
      </c>
      <c r="B195" t="s">
        <v>13</v>
      </c>
      <c r="C195" s="1" t="s">
        <v>207</v>
      </c>
      <c r="D195" s="4">
        <v>21.5</v>
      </c>
      <c r="E195" s="4">
        <v>21.574999999999999</v>
      </c>
      <c r="F195" s="4">
        <v>21.22</v>
      </c>
      <c r="G195" s="4">
        <v>21.24</v>
      </c>
      <c r="H195" s="4">
        <v>638458</v>
      </c>
      <c r="I195" s="4">
        <v>4712.58</v>
      </c>
      <c r="J195" s="4">
        <v>221872712</v>
      </c>
    </row>
    <row r="196" spans="1:10" ht="15" customHeight="1" x14ac:dyDescent="0.15">
      <c r="A196" t="s">
        <v>12</v>
      </c>
      <c r="B196" t="s">
        <v>13</v>
      </c>
      <c r="C196" s="1" t="s">
        <v>208</v>
      </c>
      <c r="D196" s="4">
        <v>21.4</v>
      </c>
      <c r="E196" s="4">
        <v>21.8</v>
      </c>
      <c r="F196" s="4">
        <v>21.15</v>
      </c>
      <c r="G196" s="4">
        <v>21.67</v>
      </c>
      <c r="H196" s="4">
        <v>549893</v>
      </c>
      <c r="I196" s="4">
        <v>4807.9799999999996</v>
      </c>
      <c r="J196" s="4">
        <v>221872712</v>
      </c>
    </row>
    <row r="197" spans="1:10" ht="15" customHeight="1" x14ac:dyDescent="0.15">
      <c r="A197" t="s">
        <v>12</v>
      </c>
      <c r="B197" t="s">
        <v>13</v>
      </c>
      <c r="C197" s="1" t="s">
        <v>209</v>
      </c>
      <c r="D197" s="4">
        <v>21.4</v>
      </c>
      <c r="E197" s="4">
        <v>21.64</v>
      </c>
      <c r="F197" s="4">
        <v>21.36</v>
      </c>
      <c r="G197" s="4">
        <v>21.62</v>
      </c>
      <c r="H197" s="4">
        <v>546182</v>
      </c>
      <c r="I197" s="4">
        <v>4796.8900000000003</v>
      </c>
      <c r="J197" s="4">
        <v>221872712</v>
      </c>
    </row>
    <row r="198" spans="1:10" ht="15" customHeight="1" x14ac:dyDescent="0.15">
      <c r="A198" t="s">
        <v>12</v>
      </c>
      <c r="B198" t="s">
        <v>13</v>
      </c>
      <c r="C198" s="1" t="s">
        <v>210</v>
      </c>
      <c r="D198" s="4">
        <v>21.6</v>
      </c>
      <c r="E198" s="4">
        <v>21.97</v>
      </c>
      <c r="F198" s="4">
        <v>21.53</v>
      </c>
      <c r="G198" s="4">
        <v>21.92</v>
      </c>
      <c r="H198" s="4">
        <v>569087</v>
      </c>
      <c r="I198" s="4">
        <v>4863.45</v>
      </c>
      <c r="J198" s="4">
        <v>221872712</v>
      </c>
    </row>
    <row r="199" spans="1:10" ht="15" customHeight="1" x14ac:dyDescent="0.15">
      <c r="A199" t="s">
        <v>12</v>
      </c>
      <c r="B199" t="s">
        <v>13</v>
      </c>
      <c r="C199" s="1" t="s">
        <v>211</v>
      </c>
      <c r="D199" s="4">
        <v>21.99</v>
      </c>
      <c r="E199" s="4">
        <v>22.11</v>
      </c>
      <c r="F199" s="4">
        <v>21.78</v>
      </c>
      <c r="G199" s="4">
        <v>21.85</v>
      </c>
      <c r="H199" s="4">
        <v>581021</v>
      </c>
      <c r="I199" s="4">
        <v>4847.92</v>
      </c>
      <c r="J199" s="4">
        <v>221872712</v>
      </c>
    </row>
    <row r="200" spans="1:10" ht="15" customHeight="1" x14ac:dyDescent="0.15">
      <c r="A200" t="s">
        <v>12</v>
      </c>
      <c r="B200" t="s">
        <v>13</v>
      </c>
      <c r="C200" s="1" t="s">
        <v>212</v>
      </c>
      <c r="D200" s="4">
        <v>21.7</v>
      </c>
      <c r="E200" s="4">
        <v>22.02</v>
      </c>
      <c r="F200" s="4">
        <v>21.68</v>
      </c>
      <c r="G200" s="4">
        <v>21.89</v>
      </c>
      <c r="H200" s="4">
        <v>450146</v>
      </c>
      <c r="I200" s="4">
        <v>4856.79</v>
      </c>
      <c r="J200" s="4">
        <v>221872712</v>
      </c>
    </row>
    <row r="201" spans="1:10" ht="15" customHeight="1" x14ac:dyDescent="0.15">
      <c r="A201" t="s">
        <v>12</v>
      </c>
      <c r="B201" t="s">
        <v>13</v>
      </c>
      <c r="C201" s="1" t="s">
        <v>213</v>
      </c>
      <c r="D201" s="4">
        <v>21.85</v>
      </c>
      <c r="E201" s="4">
        <v>21.92</v>
      </c>
      <c r="F201" s="4">
        <v>21.13</v>
      </c>
      <c r="G201" s="4">
        <v>21.51</v>
      </c>
      <c r="H201" s="4">
        <v>909288</v>
      </c>
      <c r="I201" s="4">
        <v>4772.4799999999996</v>
      </c>
      <c r="J201" s="4">
        <v>221872712</v>
      </c>
    </row>
    <row r="202" spans="1:10" ht="15" customHeight="1" x14ac:dyDescent="0.15">
      <c r="A202" t="s">
        <v>12</v>
      </c>
      <c r="B202" t="s">
        <v>13</v>
      </c>
      <c r="C202" s="1" t="s">
        <v>214</v>
      </c>
      <c r="D202" s="4">
        <v>21.61</v>
      </c>
      <c r="E202" s="4">
        <v>21.66</v>
      </c>
      <c r="F202" s="4">
        <v>21.385000000000002</v>
      </c>
      <c r="G202" s="4">
        <v>21.52</v>
      </c>
      <c r="H202" s="4">
        <v>1401502</v>
      </c>
      <c r="I202" s="4">
        <v>4774.7</v>
      </c>
      <c r="J202" s="4">
        <v>221872712</v>
      </c>
    </row>
    <row r="203" spans="1:10" ht="15" customHeight="1" x14ac:dyDescent="0.15">
      <c r="A203" t="s">
        <v>12</v>
      </c>
      <c r="B203" t="s">
        <v>13</v>
      </c>
      <c r="C203" s="1" t="s">
        <v>215</v>
      </c>
      <c r="D203" s="4">
        <v>21.41</v>
      </c>
      <c r="E203" s="4">
        <v>21.52</v>
      </c>
      <c r="F203" s="4">
        <v>21.33</v>
      </c>
      <c r="G203" s="4">
        <v>21.33</v>
      </c>
      <c r="H203" s="4">
        <v>637512</v>
      </c>
      <c r="I203" s="4">
        <v>4732.54</v>
      </c>
      <c r="J203" s="4">
        <v>221872712</v>
      </c>
    </row>
    <row r="204" spans="1:10" ht="15" customHeight="1" x14ac:dyDescent="0.15">
      <c r="A204" t="s">
        <v>12</v>
      </c>
      <c r="B204" t="s">
        <v>13</v>
      </c>
      <c r="C204" s="1" t="s">
        <v>216</v>
      </c>
      <c r="D204" s="4">
        <v>21.6</v>
      </c>
      <c r="E204" s="4">
        <v>21.68</v>
      </c>
      <c r="F204" s="4">
        <v>21.36</v>
      </c>
      <c r="G204" s="4">
        <v>21.62</v>
      </c>
      <c r="H204" s="4">
        <v>719489</v>
      </c>
      <c r="I204" s="4">
        <v>4796.8900000000003</v>
      </c>
      <c r="J204" s="4">
        <v>221872712</v>
      </c>
    </row>
    <row r="205" spans="1:10" ht="15" customHeight="1" x14ac:dyDescent="0.15">
      <c r="A205" t="s">
        <v>12</v>
      </c>
      <c r="B205" t="s">
        <v>13</v>
      </c>
      <c r="C205" s="1" t="s">
        <v>217</v>
      </c>
      <c r="D205" s="4">
        <v>19.760000000000002</v>
      </c>
      <c r="E205" s="4">
        <v>19.899999999999999</v>
      </c>
      <c r="F205" s="4">
        <v>17.100000000000001</v>
      </c>
      <c r="G205" s="4">
        <v>17.2</v>
      </c>
      <c r="H205" s="4">
        <v>8260856</v>
      </c>
      <c r="I205" s="4">
        <v>3816.21</v>
      </c>
      <c r="J205" s="4">
        <v>221872712</v>
      </c>
    </row>
    <row r="206" spans="1:10" ht="15" customHeight="1" x14ac:dyDescent="0.15">
      <c r="A206" t="s">
        <v>12</v>
      </c>
      <c r="B206" t="s">
        <v>13</v>
      </c>
      <c r="C206" s="1" t="s">
        <v>218</v>
      </c>
      <c r="D206" s="4">
        <v>17.239999999999998</v>
      </c>
      <c r="E206" s="4">
        <v>17.78</v>
      </c>
      <c r="F206" s="4">
        <v>17.239999999999998</v>
      </c>
      <c r="G206" s="4">
        <v>17.309999999999999</v>
      </c>
      <c r="H206" s="4">
        <v>4801744</v>
      </c>
      <c r="I206" s="4">
        <v>3840.62</v>
      </c>
      <c r="J206" s="4">
        <v>221872712</v>
      </c>
    </row>
    <row r="207" spans="1:10" ht="15" customHeight="1" x14ac:dyDescent="0.15">
      <c r="A207" t="s">
        <v>12</v>
      </c>
      <c r="B207" t="s">
        <v>13</v>
      </c>
      <c r="C207" s="1" t="s">
        <v>219</v>
      </c>
      <c r="D207" s="4">
        <v>17.350000000000001</v>
      </c>
      <c r="E207" s="4">
        <v>17.45</v>
      </c>
      <c r="F207" s="4">
        <v>16.785</v>
      </c>
      <c r="G207" s="4">
        <v>16.87</v>
      </c>
      <c r="H207" s="4">
        <v>3065599</v>
      </c>
      <c r="I207" s="4">
        <v>3742.99</v>
      </c>
      <c r="J207" s="4">
        <v>221872712</v>
      </c>
    </row>
    <row r="208" spans="1:10" ht="15" customHeight="1" x14ac:dyDescent="0.15">
      <c r="A208" t="s">
        <v>12</v>
      </c>
      <c r="B208" t="s">
        <v>13</v>
      </c>
      <c r="C208" s="1" t="s">
        <v>220</v>
      </c>
      <c r="D208" s="4">
        <v>17.02</v>
      </c>
      <c r="E208" s="4">
        <v>17.32</v>
      </c>
      <c r="F208" s="4">
        <v>16.37</v>
      </c>
      <c r="G208" s="4">
        <v>16.37</v>
      </c>
      <c r="H208" s="4">
        <v>2924513</v>
      </c>
      <c r="I208" s="4">
        <v>3632.06</v>
      </c>
      <c r="J208" s="4">
        <v>221872712</v>
      </c>
    </row>
    <row r="209" spans="1:10" ht="15" customHeight="1" x14ac:dyDescent="0.15">
      <c r="A209" t="s">
        <v>12</v>
      </c>
      <c r="B209" t="s">
        <v>13</v>
      </c>
      <c r="C209" s="1" t="s">
        <v>221</v>
      </c>
      <c r="D209" s="4">
        <v>16.38</v>
      </c>
      <c r="E209" s="4">
        <v>16.54</v>
      </c>
      <c r="F209" s="4">
        <v>15.86</v>
      </c>
      <c r="G209" s="4">
        <v>15.86</v>
      </c>
      <c r="H209" s="4">
        <v>3222367</v>
      </c>
      <c r="I209" s="4">
        <v>3518.9</v>
      </c>
      <c r="J209" s="4">
        <v>221872712</v>
      </c>
    </row>
    <row r="210" spans="1:10" ht="15" customHeight="1" x14ac:dyDescent="0.15">
      <c r="A210" t="s">
        <v>12</v>
      </c>
      <c r="B210" t="s">
        <v>13</v>
      </c>
      <c r="C210" s="1" t="s">
        <v>222</v>
      </c>
      <c r="D210" s="4">
        <v>16.04</v>
      </c>
      <c r="E210" s="4">
        <v>16.489999999999998</v>
      </c>
      <c r="F210" s="4">
        <v>15.89</v>
      </c>
      <c r="G210" s="4">
        <v>15.89</v>
      </c>
      <c r="H210" s="4">
        <v>3158703</v>
      </c>
      <c r="I210" s="4">
        <v>3525.56</v>
      </c>
      <c r="J210" s="4">
        <v>221872712</v>
      </c>
    </row>
    <row r="211" spans="1:10" ht="15" customHeight="1" x14ac:dyDescent="0.15">
      <c r="A211" t="s">
        <v>12</v>
      </c>
      <c r="B211" t="s">
        <v>13</v>
      </c>
      <c r="C211" s="1" t="s">
        <v>223</v>
      </c>
      <c r="D211" s="4">
        <v>16.02</v>
      </c>
      <c r="E211" s="4">
        <v>16.079999999999998</v>
      </c>
      <c r="F211" s="4">
        <v>15.6</v>
      </c>
      <c r="G211" s="4">
        <v>15.68</v>
      </c>
      <c r="H211" s="4">
        <v>2553116</v>
      </c>
      <c r="I211" s="4">
        <v>3478.96</v>
      </c>
      <c r="J211" s="4">
        <v>221872712</v>
      </c>
    </row>
    <row r="212" spans="1:10" ht="15" customHeight="1" x14ac:dyDescent="0.15">
      <c r="A212" t="s">
        <v>12</v>
      </c>
      <c r="B212" t="s">
        <v>13</v>
      </c>
      <c r="C212" s="1" t="s">
        <v>224</v>
      </c>
      <c r="D212" s="4">
        <v>15.8</v>
      </c>
      <c r="E212" s="4">
        <v>15.95</v>
      </c>
      <c r="F212" s="4">
        <v>15.67</v>
      </c>
      <c r="G212" s="4">
        <v>15.67</v>
      </c>
      <c r="H212" s="4">
        <v>2815069</v>
      </c>
      <c r="I212" s="4">
        <v>3476.75</v>
      </c>
      <c r="J212" s="4">
        <v>221872712</v>
      </c>
    </row>
    <row r="213" spans="1:10" ht="15" customHeight="1" x14ac:dyDescent="0.15">
      <c r="A213" t="s">
        <v>12</v>
      </c>
      <c r="B213" t="s">
        <v>13</v>
      </c>
      <c r="C213" s="1" t="s">
        <v>225</v>
      </c>
      <c r="D213" s="4">
        <v>15.72</v>
      </c>
      <c r="E213" s="4">
        <v>16.010000000000002</v>
      </c>
      <c r="F213" s="4">
        <v>15.72</v>
      </c>
      <c r="G213" s="4">
        <v>15.9</v>
      </c>
      <c r="H213" s="4">
        <v>1725141</v>
      </c>
      <c r="I213" s="4">
        <v>3527.78</v>
      </c>
      <c r="J213" s="4">
        <v>221872712</v>
      </c>
    </row>
    <row r="214" spans="1:10" ht="15" customHeight="1" x14ac:dyDescent="0.15">
      <c r="A214" t="s">
        <v>12</v>
      </c>
      <c r="B214" t="s">
        <v>13</v>
      </c>
      <c r="C214" s="1" t="s">
        <v>226</v>
      </c>
      <c r="D214" s="4">
        <v>15.92</v>
      </c>
      <c r="E214" s="4">
        <v>16.18</v>
      </c>
      <c r="F214" s="4">
        <v>15.82</v>
      </c>
      <c r="G214" s="4">
        <v>15.98</v>
      </c>
      <c r="H214" s="4">
        <v>1862195</v>
      </c>
      <c r="I214" s="4">
        <v>3545.53</v>
      </c>
      <c r="J214" s="4">
        <v>221872712</v>
      </c>
    </row>
    <row r="215" spans="1:10" ht="15" customHeight="1" x14ac:dyDescent="0.15">
      <c r="A215" t="s">
        <v>12</v>
      </c>
      <c r="B215" t="s">
        <v>13</v>
      </c>
      <c r="C215" s="1" t="s">
        <v>227</v>
      </c>
      <c r="D215" s="4">
        <v>15.88</v>
      </c>
      <c r="E215" s="4">
        <v>15.94</v>
      </c>
      <c r="F215" s="4">
        <v>15.62</v>
      </c>
      <c r="G215" s="4">
        <v>15.73</v>
      </c>
      <c r="H215" s="4">
        <v>1596340</v>
      </c>
      <c r="I215" s="4">
        <v>3490.06</v>
      </c>
      <c r="J215" s="4">
        <v>221872712</v>
      </c>
    </row>
    <row r="216" spans="1:10" ht="15" customHeight="1" x14ac:dyDescent="0.15">
      <c r="A216" t="s">
        <v>12</v>
      </c>
      <c r="B216" t="s">
        <v>13</v>
      </c>
      <c r="C216" s="1" t="s">
        <v>228</v>
      </c>
      <c r="D216" s="4">
        <v>15.75</v>
      </c>
      <c r="E216" s="4">
        <v>15.75</v>
      </c>
      <c r="F216" s="4">
        <v>15.45</v>
      </c>
      <c r="G216" s="4">
        <v>15.53</v>
      </c>
      <c r="H216" s="4">
        <v>2084397</v>
      </c>
      <c r="I216" s="4">
        <v>3445.68</v>
      </c>
      <c r="J216" s="4">
        <v>221872712</v>
      </c>
    </row>
    <row r="217" spans="1:10" ht="15" customHeight="1" x14ac:dyDescent="0.15">
      <c r="A217" t="s">
        <v>12</v>
      </c>
      <c r="B217" t="s">
        <v>13</v>
      </c>
      <c r="C217" s="1" t="s">
        <v>229</v>
      </c>
      <c r="D217" s="4">
        <v>15.58</v>
      </c>
      <c r="E217" s="4">
        <v>15.65</v>
      </c>
      <c r="F217" s="4">
        <v>15.43</v>
      </c>
      <c r="G217" s="4">
        <v>15.65</v>
      </c>
      <c r="H217" s="4">
        <v>930275</v>
      </c>
      <c r="I217" s="4">
        <v>3472.31</v>
      </c>
      <c r="J217" s="4">
        <v>221872712</v>
      </c>
    </row>
    <row r="218" spans="1:10" ht="15" customHeight="1" x14ac:dyDescent="0.15">
      <c r="A218" t="s">
        <v>12</v>
      </c>
      <c r="B218" t="s">
        <v>13</v>
      </c>
      <c r="C218" s="1" t="s">
        <v>230</v>
      </c>
      <c r="D218" s="4">
        <v>15.67</v>
      </c>
      <c r="E218" s="4">
        <v>15.88</v>
      </c>
      <c r="F218" s="4">
        <v>15.6</v>
      </c>
      <c r="G218" s="4">
        <v>15.8</v>
      </c>
      <c r="H218" s="4">
        <v>1086735</v>
      </c>
      <c r="I218" s="4">
        <v>3506.21</v>
      </c>
      <c r="J218" s="4">
        <v>221911982</v>
      </c>
    </row>
    <row r="219" spans="1:10" ht="15" customHeight="1" x14ac:dyDescent="0.15">
      <c r="A219" t="s">
        <v>12</v>
      </c>
      <c r="B219" t="s">
        <v>13</v>
      </c>
      <c r="C219" s="1" t="s">
        <v>231</v>
      </c>
      <c r="D219" s="4">
        <v>15.9</v>
      </c>
      <c r="E219" s="4">
        <v>16.14</v>
      </c>
      <c r="F219" s="4">
        <v>15.73</v>
      </c>
      <c r="G219" s="4">
        <v>16.12</v>
      </c>
      <c r="H219" s="4">
        <v>1239107</v>
      </c>
      <c r="I219" s="4">
        <v>3577.22</v>
      </c>
      <c r="J219" s="4">
        <v>221911982</v>
      </c>
    </row>
    <row r="220" spans="1:10" ht="15" customHeight="1" x14ac:dyDescent="0.15">
      <c r="A220" t="s">
        <v>12</v>
      </c>
      <c r="B220" t="s">
        <v>13</v>
      </c>
      <c r="C220" s="1" t="s">
        <v>232</v>
      </c>
      <c r="D220" s="4">
        <v>16.2</v>
      </c>
      <c r="E220" s="4">
        <v>16.37</v>
      </c>
      <c r="F220" s="4">
        <v>16.02</v>
      </c>
      <c r="G220" s="4">
        <v>16.25</v>
      </c>
      <c r="H220" s="4">
        <v>993640</v>
      </c>
      <c r="I220" s="4">
        <v>3606.07</v>
      </c>
      <c r="J220" s="4">
        <v>221911982</v>
      </c>
    </row>
    <row r="221" spans="1:10" ht="15" customHeight="1" x14ac:dyDescent="0.15">
      <c r="A221" t="s">
        <v>12</v>
      </c>
      <c r="B221" t="s">
        <v>13</v>
      </c>
      <c r="C221" s="1" t="s">
        <v>233</v>
      </c>
      <c r="D221" s="4">
        <v>16.28</v>
      </c>
      <c r="E221" s="4">
        <v>16.52</v>
      </c>
      <c r="F221" s="4">
        <v>16.25</v>
      </c>
      <c r="G221" s="4">
        <v>16.3</v>
      </c>
      <c r="H221" s="4">
        <v>1232821</v>
      </c>
      <c r="I221" s="4">
        <v>3617.17</v>
      </c>
      <c r="J221" s="4">
        <v>221911982</v>
      </c>
    </row>
    <row r="222" spans="1:10" ht="15" customHeight="1" x14ac:dyDescent="0.15">
      <c r="A222" t="s">
        <v>12</v>
      </c>
      <c r="B222" t="s">
        <v>13</v>
      </c>
      <c r="C222" s="1" t="s">
        <v>234</v>
      </c>
      <c r="D222" s="4">
        <v>16.38</v>
      </c>
      <c r="E222" s="4">
        <v>16.52</v>
      </c>
      <c r="F222" s="4">
        <v>16.12</v>
      </c>
      <c r="G222" s="4">
        <v>16.43</v>
      </c>
      <c r="H222" s="4">
        <v>1169596</v>
      </c>
      <c r="I222" s="4">
        <v>3646.01</v>
      </c>
      <c r="J222" s="4">
        <v>221911982</v>
      </c>
    </row>
    <row r="223" spans="1:10" ht="15" customHeight="1" x14ac:dyDescent="0.15">
      <c r="A223" t="s">
        <v>12</v>
      </c>
      <c r="B223" t="s">
        <v>13</v>
      </c>
      <c r="C223" s="1" t="s">
        <v>235</v>
      </c>
      <c r="D223" s="4">
        <v>16.3</v>
      </c>
      <c r="E223" s="4">
        <v>16.64</v>
      </c>
      <c r="F223" s="4">
        <v>16.239999999999998</v>
      </c>
      <c r="G223" s="4">
        <v>16.63</v>
      </c>
      <c r="H223" s="4">
        <v>867695</v>
      </c>
      <c r="I223" s="4">
        <v>3690.4</v>
      </c>
      <c r="J223" s="4">
        <v>221911982</v>
      </c>
    </row>
    <row r="224" spans="1:10" ht="15" customHeight="1" x14ac:dyDescent="0.15">
      <c r="A224" t="s">
        <v>12</v>
      </c>
      <c r="B224" t="s">
        <v>13</v>
      </c>
      <c r="C224" s="1" t="s">
        <v>236</v>
      </c>
      <c r="D224" s="4">
        <v>16.47</v>
      </c>
      <c r="E224" s="4">
        <v>17.52</v>
      </c>
      <c r="F224" s="4">
        <v>16.47</v>
      </c>
      <c r="G224" s="4">
        <v>17.39</v>
      </c>
      <c r="H224" s="4">
        <v>2716647</v>
      </c>
      <c r="I224" s="4">
        <v>3859.05</v>
      </c>
      <c r="J224" s="4">
        <v>221911982</v>
      </c>
    </row>
    <row r="225" spans="1:10" ht="15" customHeight="1" x14ac:dyDescent="0.15">
      <c r="A225" t="s">
        <v>12</v>
      </c>
      <c r="B225" t="s">
        <v>13</v>
      </c>
      <c r="C225" s="1" t="s">
        <v>237</v>
      </c>
      <c r="D225" s="4">
        <v>17.3</v>
      </c>
      <c r="E225" s="4">
        <v>17.7</v>
      </c>
      <c r="F225" s="4">
        <v>17.25</v>
      </c>
      <c r="G225" s="4">
        <v>17.329999999999998</v>
      </c>
      <c r="H225" s="4">
        <v>1924305</v>
      </c>
      <c r="I225" s="4">
        <v>3845.73</v>
      </c>
      <c r="J225" s="4">
        <v>221911982</v>
      </c>
    </row>
    <row r="226" spans="1:10" ht="15" customHeight="1" x14ac:dyDescent="0.15">
      <c r="A226" t="s">
        <v>12</v>
      </c>
      <c r="B226" t="s">
        <v>13</v>
      </c>
      <c r="C226" s="1" t="s">
        <v>238</v>
      </c>
      <c r="D226" s="4">
        <v>17.32</v>
      </c>
      <c r="E226" s="4">
        <v>17.38</v>
      </c>
      <c r="F226" s="4">
        <v>17.100000000000001</v>
      </c>
      <c r="G226" s="4">
        <v>17.16</v>
      </c>
      <c r="H226" s="4">
        <v>1039124</v>
      </c>
      <c r="I226" s="4">
        <v>3808.01</v>
      </c>
      <c r="J226" s="4">
        <v>221911982</v>
      </c>
    </row>
    <row r="227" spans="1:10" ht="15" customHeight="1" x14ac:dyDescent="0.15">
      <c r="A227" t="s">
        <v>12</v>
      </c>
      <c r="B227" t="s">
        <v>13</v>
      </c>
      <c r="C227" s="1" t="s">
        <v>239</v>
      </c>
      <c r="D227" s="4">
        <v>17.079999999999998</v>
      </c>
      <c r="E227" s="4">
        <v>17.54</v>
      </c>
      <c r="F227" s="4">
        <v>17.05</v>
      </c>
      <c r="G227" s="4">
        <v>17.48</v>
      </c>
      <c r="H227" s="4">
        <v>1148770</v>
      </c>
      <c r="I227" s="4">
        <v>3879.02</v>
      </c>
      <c r="J227" s="4">
        <v>221911982</v>
      </c>
    </row>
    <row r="228" spans="1:10" ht="15" customHeight="1" x14ac:dyDescent="0.15">
      <c r="A228" t="s">
        <v>12</v>
      </c>
      <c r="B228" t="s">
        <v>13</v>
      </c>
      <c r="C228" s="1" t="s">
        <v>240</v>
      </c>
      <c r="D228" s="4">
        <v>17.329999999999998</v>
      </c>
      <c r="E228" s="4">
        <v>17.45</v>
      </c>
      <c r="F228" s="4">
        <v>17.21</v>
      </c>
      <c r="G228" s="4">
        <v>17.21</v>
      </c>
      <c r="H228" s="4">
        <v>928556</v>
      </c>
      <c r="I228" s="4">
        <v>3819.11</v>
      </c>
      <c r="J228" s="4">
        <v>221911982</v>
      </c>
    </row>
    <row r="229" spans="1:10" ht="15" customHeight="1" x14ac:dyDescent="0.15">
      <c r="A229" t="s">
        <v>12</v>
      </c>
      <c r="B229" t="s">
        <v>13</v>
      </c>
      <c r="C229" s="1" t="s">
        <v>241</v>
      </c>
      <c r="D229" s="4">
        <v>17.2</v>
      </c>
      <c r="E229" s="4">
        <v>17.3</v>
      </c>
      <c r="F229" s="4">
        <v>16.760000000000002</v>
      </c>
      <c r="G229" s="4">
        <v>16.98</v>
      </c>
      <c r="H229" s="4">
        <v>1998878</v>
      </c>
      <c r="I229" s="4">
        <v>3768.07</v>
      </c>
      <c r="J229" s="4">
        <v>221911982</v>
      </c>
    </row>
    <row r="230" spans="1:10" ht="15" customHeight="1" x14ac:dyDescent="0.15">
      <c r="A230" t="s">
        <v>12</v>
      </c>
      <c r="B230" t="s">
        <v>13</v>
      </c>
      <c r="C230" s="1" t="s">
        <v>242</v>
      </c>
      <c r="D230" s="4">
        <v>17.010000000000002</v>
      </c>
      <c r="E230" s="4">
        <v>17.18</v>
      </c>
      <c r="F230" s="4">
        <v>16.98</v>
      </c>
      <c r="G230" s="4">
        <v>17</v>
      </c>
      <c r="H230" s="4">
        <v>1024842</v>
      </c>
      <c r="I230" s="4">
        <v>3772.5</v>
      </c>
      <c r="J230" s="4">
        <v>221911982</v>
      </c>
    </row>
    <row r="231" spans="1:10" ht="15" customHeight="1" x14ac:dyDescent="0.15">
      <c r="A231" t="s">
        <v>12</v>
      </c>
      <c r="B231" t="s">
        <v>13</v>
      </c>
      <c r="C231" s="1" t="s">
        <v>243</v>
      </c>
      <c r="D231" s="4">
        <v>17.170000000000002</v>
      </c>
      <c r="E231" s="4">
        <v>17.22</v>
      </c>
      <c r="F231" s="4">
        <v>16.93</v>
      </c>
      <c r="G231" s="4">
        <v>16.93</v>
      </c>
      <c r="H231" s="4">
        <v>1043704</v>
      </c>
      <c r="I231" s="4">
        <v>3756.97</v>
      </c>
      <c r="J231" s="4">
        <v>221911982</v>
      </c>
    </row>
    <row r="232" spans="1:10" ht="15" customHeight="1" x14ac:dyDescent="0.15">
      <c r="A232" t="s">
        <v>12</v>
      </c>
      <c r="B232" t="s">
        <v>13</v>
      </c>
      <c r="C232" s="1" t="s">
        <v>244</v>
      </c>
      <c r="D232" s="4">
        <v>17.04</v>
      </c>
      <c r="E232" s="4">
        <v>17.05</v>
      </c>
      <c r="F232" s="4">
        <v>16.670000000000002</v>
      </c>
      <c r="G232" s="4">
        <v>16.7</v>
      </c>
      <c r="H232" s="4">
        <v>792535</v>
      </c>
      <c r="I232" s="4">
        <v>3705.93</v>
      </c>
      <c r="J232" s="4">
        <v>221911982</v>
      </c>
    </row>
    <row r="233" spans="1:10" ht="15" customHeight="1" x14ac:dyDescent="0.15">
      <c r="A233" t="s">
        <v>12</v>
      </c>
      <c r="B233" t="s">
        <v>13</v>
      </c>
      <c r="C233" s="1" t="s">
        <v>245</v>
      </c>
      <c r="D233" s="4">
        <v>17.03</v>
      </c>
      <c r="E233" s="4">
        <v>17.45</v>
      </c>
      <c r="F233" s="4">
        <v>16.940000000000001</v>
      </c>
      <c r="G233" s="4">
        <v>17.13</v>
      </c>
      <c r="H233" s="4">
        <v>2155073</v>
      </c>
      <c r="I233" s="4">
        <v>3801.35</v>
      </c>
      <c r="J233" s="4">
        <v>221911982</v>
      </c>
    </row>
    <row r="234" spans="1:10" ht="15" customHeight="1" x14ac:dyDescent="0.15">
      <c r="A234" t="s">
        <v>12</v>
      </c>
      <c r="B234" t="s">
        <v>13</v>
      </c>
      <c r="C234" s="1" t="s">
        <v>246</v>
      </c>
      <c r="D234" s="4">
        <v>17.13</v>
      </c>
      <c r="E234" s="4">
        <v>17.59</v>
      </c>
      <c r="F234" s="4">
        <v>17.12</v>
      </c>
      <c r="G234" s="4">
        <v>17.39</v>
      </c>
      <c r="H234" s="4">
        <v>1298291</v>
      </c>
      <c r="I234" s="4">
        <v>3859.05</v>
      </c>
      <c r="J234" s="4">
        <v>221911982</v>
      </c>
    </row>
    <row r="235" spans="1:10" ht="15" customHeight="1" x14ac:dyDescent="0.15">
      <c r="A235" t="s">
        <v>12</v>
      </c>
      <c r="B235" t="s">
        <v>13</v>
      </c>
      <c r="C235" s="1" t="s">
        <v>247</v>
      </c>
      <c r="D235" s="4">
        <v>17.48</v>
      </c>
      <c r="E235" s="4">
        <v>17.62</v>
      </c>
      <c r="F235" s="4">
        <v>17.309999999999999</v>
      </c>
      <c r="G235" s="4">
        <v>17.510000000000002</v>
      </c>
      <c r="H235" s="4">
        <v>718710</v>
      </c>
      <c r="I235" s="4">
        <v>3885.68</v>
      </c>
      <c r="J235" s="4">
        <v>221911982</v>
      </c>
    </row>
    <row r="236" spans="1:10" ht="15" customHeight="1" x14ac:dyDescent="0.15">
      <c r="A236" t="s">
        <v>12</v>
      </c>
      <c r="B236" t="s">
        <v>13</v>
      </c>
      <c r="C236" s="1" t="s">
        <v>248</v>
      </c>
      <c r="D236" s="4">
        <v>17.53</v>
      </c>
      <c r="E236" s="4">
        <v>17.600000000000001</v>
      </c>
      <c r="F236" s="4">
        <v>17.27</v>
      </c>
      <c r="G236" s="4">
        <v>17.329999999999998</v>
      </c>
      <c r="H236" s="4">
        <v>717340</v>
      </c>
      <c r="I236" s="4">
        <v>3845.73</v>
      </c>
      <c r="J236" s="4">
        <v>221911982</v>
      </c>
    </row>
    <row r="237" spans="1:10" ht="15" customHeight="1" x14ac:dyDescent="0.15">
      <c r="A237" t="s">
        <v>12</v>
      </c>
      <c r="B237" t="s">
        <v>13</v>
      </c>
      <c r="C237" s="1" t="s">
        <v>249</v>
      </c>
      <c r="D237" s="4">
        <v>17.43</v>
      </c>
      <c r="E237" s="4">
        <v>17.5</v>
      </c>
      <c r="F237" s="4">
        <v>17.059999999999999</v>
      </c>
      <c r="G237" s="4">
        <v>17.059999999999999</v>
      </c>
      <c r="H237" s="4">
        <v>1377832</v>
      </c>
      <c r="I237" s="4">
        <v>3785.82</v>
      </c>
      <c r="J237" s="4">
        <v>221911982</v>
      </c>
    </row>
    <row r="238" spans="1:10" ht="15" customHeight="1" x14ac:dyDescent="0.15">
      <c r="A238" t="s">
        <v>12</v>
      </c>
      <c r="B238" t="s">
        <v>13</v>
      </c>
      <c r="C238" s="1" t="s">
        <v>250</v>
      </c>
      <c r="D238" s="4">
        <v>17.059999999999999</v>
      </c>
      <c r="E238" s="4">
        <v>17.16</v>
      </c>
      <c r="F238" s="4">
        <v>16.98</v>
      </c>
      <c r="G238" s="4">
        <v>17</v>
      </c>
      <c r="H238" s="4">
        <v>717204</v>
      </c>
      <c r="I238" s="4">
        <v>3772.5</v>
      </c>
      <c r="J238" s="4">
        <v>221911982</v>
      </c>
    </row>
    <row r="239" spans="1:10" ht="15" customHeight="1" x14ac:dyDescent="0.15">
      <c r="A239" t="s">
        <v>12</v>
      </c>
      <c r="B239" t="s">
        <v>13</v>
      </c>
      <c r="C239" s="1" t="s">
        <v>251</v>
      </c>
      <c r="D239" s="4">
        <v>17.05</v>
      </c>
      <c r="E239" s="4">
        <v>17.11</v>
      </c>
      <c r="F239" s="4">
        <v>16.850000000000001</v>
      </c>
      <c r="G239" s="4">
        <v>16.87</v>
      </c>
      <c r="H239" s="4">
        <v>921810</v>
      </c>
      <c r="I239" s="4">
        <v>3743.66</v>
      </c>
      <c r="J239" s="4">
        <v>221911982</v>
      </c>
    </row>
    <row r="240" spans="1:10" ht="15" customHeight="1" x14ac:dyDescent="0.15">
      <c r="A240" t="s">
        <v>12</v>
      </c>
      <c r="B240" t="s">
        <v>13</v>
      </c>
      <c r="C240" s="1" t="s">
        <v>252</v>
      </c>
      <c r="D240" s="4">
        <v>16.72</v>
      </c>
      <c r="E240" s="4">
        <v>16.96</v>
      </c>
      <c r="F240" s="4">
        <v>16.579999999999998</v>
      </c>
      <c r="G240" s="4">
        <v>16.920000000000002</v>
      </c>
      <c r="H240" s="4">
        <v>914255</v>
      </c>
      <c r="I240" s="4">
        <v>3754.75</v>
      </c>
      <c r="J240" s="4">
        <v>221911982</v>
      </c>
    </row>
    <row r="241" spans="1:10" ht="15" customHeight="1" x14ac:dyDescent="0.15">
      <c r="A241" t="s">
        <v>12</v>
      </c>
      <c r="B241" t="s">
        <v>13</v>
      </c>
      <c r="C241" s="1" t="s">
        <v>253</v>
      </c>
      <c r="D241" s="4">
        <v>16.7</v>
      </c>
      <c r="E241" s="4">
        <v>16.82</v>
      </c>
      <c r="F241" s="4">
        <v>16.57</v>
      </c>
      <c r="G241" s="4">
        <v>16.690000000000001</v>
      </c>
      <c r="H241" s="4">
        <v>953448</v>
      </c>
      <c r="I241" s="4">
        <v>3704.27</v>
      </c>
      <c r="J241" s="4">
        <v>221945650</v>
      </c>
    </row>
    <row r="242" spans="1:10" ht="15" customHeight="1" x14ac:dyDescent="0.15">
      <c r="A242" t="s">
        <v>12</v>
      </c>
      <c r="B242" t="s">
        <v>13</v>
      </c>
      <c r="C242" s="1" t="s">
        <v>254</v>
      </c>
      <c r="D242" s="4">
        <v>16.670000000000002</v>
      </c>
      <c r="E242" s="4">
        <v>16.670000000000002</v>
      </c>
      <c r="F242" s="4">
        <v>16.399999999999999</v>
      </c>
      <c r="G242" s="4">
        <v>16.399999999999999</v>
      </c>
      <c r="H242" s="4">
        <v>1264180</v>
      </c>
      <c r="I242" s="4">
        <v>3639.91</v>
      </c>
      <c r="J242" s="4">
        <v>221945650</v>
      </c>
    </row>
    <row r="243" spans="1:10" ht="15" customHeight="1" x14ac:dyDescent="0.15">
      <c r="A243" t="s">
        <v>12</v>
      </c>
      <c r="B243" t="s">
        <v>13</v>
      </c>
      <c r="C243" s="1" t="s">
        <v>255</v>
      </c>
      <c r="D243" s="4">
        <v>16.45</v>
      </c>
      <c r="E243" s="4">
        <v>16.53</v>
      </c>
      <c r="F243" s="4">
        <v>16.23</v>
      </c>
      <c r="G243" s="4">
        <v>16.23</v>
      </c>
      <c r="H243" s="4">
        <v>1314626</v>
      </c>
      <c r="I243" s="4">
        <v>3602.18</v>
      </c>
      <c r="J243" s="4">
        <v>221945650</v>
      </c>
    </row>
    <row r="244" spans="1:10" ht="15" customHeight="1" x14ac:dyDescent="0.15">
      <c r="A244" t="s">
        <v>12</v>
      </c>
      <c r="B244" t="s">
        <v>13</v>
      </c>
      <c r="C244" s="1" t="s">
        <v>256</v>
      </c>
      <c r="D244" s="4">
        <v>16.23</v>
      </c>
      <c r="E244" s="4">
        <v>16.45</v>
      </c>
      <c r="F244" s="4">
        <v>16.149999999999999</v>
      </c>
      <c r="G244" s="4">
        <v>16.149999999999999</v>
      </c>
      <c r="H244" s="4">
        <v>1116921</v>
      </c>
      <c r="I244" s="4">
        <v>3584.42</v>
      </c>
      <c r="J244" s="4">
        <v>221945650</v>
      </c>
    </row>
    <row r="245" spans="1:10" ht="15" customHeight="1" x14ac:dyDescent="0.15">
      <c r="A245" t="s">
        <v>12</v>
      </c>
      <c r="B245" t="s">
        <v>13</v>
      </c>
      <c r="C245" s="1" t="s">
        <v>257</v>
      </c>
      <c r="D245" s="4">
        <v>16.100000000000001</v>
      </c>
      <c r="E245" s="4">
        <v>16.41</v>
      </c>
      <c r="F245" s="4">
        <v>16.010000000000002</v>
      </c>
      <c r="G245" s="4">
        <v>16.36</v>
      </c>
      <c r="H245" s="4">
        <v>1197932</v>
      </c>
      <c r="I245" s="4">
        <v>3631.03</v>
      </c>
      <c r="J245" s="4">
        <v>221945650</v>
      </c>
    </row>
    <row r="246" spans="1:10" ht="15" customHeight="1" x14ac:dyDescent="0.15">
      <c r="A246" t="s">
        <v>12</v>
      </c>
      <c r="B246" t="s">
        <v>13</v>
      </c>
      <c r="C246" s="1" t="s">
        <v>258</v>
      </c>
      <c r="D246" s="4">
        <v>16.45</v>
      </c>
      <c r="E246" s="4">
        <v>16.63</v>
      </c>
      <c r="F246" s="4">
        <v>16.38</v>
      </c>
      <c r="G246" s="4">
        <v>16.47</v>
      </c>
      <c r="H246" s="4">
        <v>958672</v>
      </c>
      <c r="I246" s="4">
        <v>3655.44</v>
      </c>
      <c r="J246" s="4">
        <v>221945650</v>
      </c>
    </row>
    <row r="247" spans="1:10" ht="15" customHeight="1" x14ac:dyDescent="0.15">
      <c r="A247" t="s">
        <v>12</v>
      </c>
      <c r="B247" t="s">
        <v>13</v>
      </c>
      <c r="C247" s="1" t="s">
        <v>259</v>
      </c>
      <c r="D247" s="4">
        <v>16.3</v>
      </c>
      <c r="E247" s="4">
        <v>16.760000000000002</v>
      </c>
      <c r="F247" s="4">
        <v>16.3</v>
      </c>
      <c r="G247" s="4">
        <v>16.649999999999999</v>
      </c>
      <c r="H247" s="4">
        <v>853384</v>
      </c>
      <c r="I247" s="4">
        <v>3695.4</v>
      </c>
      <c r="J247" s="4">
        <v>221945650</v>
      </c>
    </row>
    <row r="248" spans="1:10" ht="15" customHeight="1" x14ac:dyDescent="0.15">
      <c r="A248" t="s">
        <v>12</v>
      </c>
      <c r="B248" t="s">
        <v>13</v>
      </c>
      <c r="C248" s="1" t="s">
        <v>260</v>
      </c>
      <c r="D248" s="4">
        <v>16.55</v>
      </c>
      <c r="E248" s="4">
        <v>16.829999999999998</v>
      </c>
      <c r="F248" s="4">
        <v>16.350000000000001</v>
      </c>
      <c r="G248" s="4">
        <v>16.52</v>
      </c>
      <c r="H248" s="4">
        <v>830608</v>
      </c>
      <c r="I248" s="4">
        <v>3666.54</v>
      </c>
      <c r="J248" s="4">
        <v>221945650</v>
      </c>
    </row>
    <row r="249" spans="1:10" ht="15" customHeight="1" x14ac:dyDescent="0.15">
      <c r="A249" t="s">
        <v>12</v>
      </c>
      <c r="B249" t="s">
        <v>13</v>
      </c>
      <c r="C249" s="1" t="s">
        <v>261</v>
      </c>
      <c r="D249" s="4">
        <v>16.5</v>
      </c>
      <c r="E249" s="4">
        <v>16.605</v>
      </c>
      <c r="F249" s="4">
        <v>16.215</v>
      </c>
      <c r="G249" s="4">
        <v>16.3</v>
      </c>
      <c r="H249" s="4">
        <v>1045702</v>
      </c>
      <c r="I249" s="4">
        <v>3617.71</v>
      </c>
      <c r="J249" s="4">
        <v>221945650</v>
      </c>
    </row>
    <row r="250" spans="1:10" ht="15" customHeight="1" x14ac:dyDescent="0.15">
      <c r="A250" t="s">
        <v>12</v>
      </c>
      <c r="B250" t="s">
        <v>13</v>
      </c>
      <c r="C250" s="1" t="s">
        <v>262</v>
      </c>
      <c r="D250" s="4">
        <v>16.420000000000002</v>
      </c>
      <c r="E250" s="4">
        <v>16.420000000000002</v>
      </c>
      <c r="F250" s="4">
        <v>16.11</v>
      </c>
      <c r="G250" s="4">
        <v>16.239999999999998</v>
      </c>
      <c r="H250" s="4">
        <v>1278342</v>
      </c>
      <c r="I250" s="4">
        <v>3604.4</v>
      </c>
      <c r="J250" s="4">
        <v>221945650</v>
      </c>
    </row>
    <row r="251" spans="1:10" ht="15" customHeight="1" x14ac:dyDescent="0.15">
      <c r="A251" t="s">
        <v>12</v>
      </c>
      <c r="B251" t="s">
        <v>13</v>
      </c>
      <c r="C251" s="1" t="s">
        <v>263</v>
      </c>
      <c r="D251" s="4">
        <v>16.239999999999998</v>
      </c>
      <c r="E251" s="4">
        <v>16.489999999999998</v>
      </c>
      <c r="F251" s="4">
        <v>16.239999999999998</v>
      </c>
      <c r="G251" s="4">
        <v>16.489999999999998</v>
      </c>
      <c r="H251" s="4">
        <v>415627</v>
      </c>
      <c r="I251" s="4">
        <v>3659.88</v>
      </c>
      <c r="J251" s="4">
        <v>221945650</v>
      </c>
    </row>
    <row r="252" spans="1:10" ht="15" customHeight="1" x14ac:dyDescent="0.15">
      <c r="A252" t="s">
        <v>12</v>
      </c>
      <c r="B252" t="s">
        <v>13</v>
      </c>
      <c r="C252" s="1" t="s">
        <v>264</v>
      </c>
      <c r="D252" s="4">
        <v>16.440000000000001</v>
      </c>
      <c r="E252" s="4">
        <v>16.54</v>
      </c>
      <c r="F252" s="4">
        <v>16.41</v>
      </c>
      <c r="G252" s="4">
        <v>16.45</v>
      </c>
      <c r="H252" s="4">
        <v>205832</v>
      </c>
      <c r="I252" s="4">
        <v>3651.01</v>
      </c>
      <c r="J252" s="4">
        <v>221945650</v>
      </c>
    </row>
    <row r="253" spans="1:10" ht="15" customHeight="1" x14ac:dyDescent="0.15">
      <c r="A253" t="s">
        <v>12</v>
      </c>
      <c r="B253" t="s">
        <v>13</v>
      </c>
      <c r="C253" s="1" t="s">
        <v>265</v>
      </c>
      <c r="D253" s="4">
        <v>16.48</v>
      </c>
      <c r="E253" s="4">
        <v>16.760000000000002</v>
      </c>
      <c r="F253" s="4">
        <v>16.440000000000001</v>
      </c>
      <c r="G253" s="4">
        <v>16.72</v>
      </c>
      <c r="H253" s="4">
        <v>425299</v>
      </c>
      <c r="I253" s="4">
        <v>3710.93</v>
      </c>
      <c r="J253" s="4">
        <v>221945650</v>
      </c>
    </row>
    <row r="254" spans="1:10" ht="15" customHeight="1" x14ac:dyDescent="0.15">
      <c r="A254" t="s">
        <v>12</v>
      </c>
      <c r="B254" t="s">
        <v>13</v>
      </c>
      <c r="C254" s="1" t="s">
        <v>266</v>
      </c>
      <c r="D254" s="4">
        <v>16.7</v>
      </c>
      <c r="E254" s="4">
        <v>16.71</v>
      </c>
      <c r="F254" s="4">
        <v>16.515000000000001</v>
      </c>
      <c r="G254" s="4">
        <v>16.71</v>
      </c>
      <c r="H254" s="4">
        <v>192556</v>
      </c>
      <c r="I254" s="4">
        <v>3708.71</v>
      </c>
      <c r="J254" s="4">
        <v>221945650</v>
      </c>
    </row>
    <row r="255" spans="1:10" ht="15" customHeight="1" x14ac:dyDescent="0.15">
      <c r="A255" t="s">
        <v>12</v>
      </c>
      <c r="B255" t="s">
        <v>13</v>
      </c>
      <c r="C255" s="1" t="s">
        <v>267</v>
      </c>
      <c r="D255" s="4">
        <v>16.600000000000001</v>
      </c>
      <c r="E255" s="4">
        <v>16.77</v>
      </c>
      <c r="F255" s="4">
        <v>16.559999999999999</v>
      </c>
      <c r="G255" s="4">
        <v>16.68</v>
      </c>
      <c r="H255" s="4">
        <v>255236</v>
      </c>
      <c r="I255" s="4">
        <v>3702.05</v>
      </c>
      <c r="J255" s="4">
        <v>221945650</v>
      </c>
    </row>
  </sheetData>
  <sortState xmlns:xlrd2="http://schemas.microsoft.com/office/spreadsheetml/2017/richdata2" ref="A2:J255">
    <sortCondition ref="C2:C255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C0DC-9C3F-A24D-860E-3FD2F0719E3B}">
  <dimension ref="A1:G255"/>
  <sheetViews>
    <sheetView zoomScale="90" zoomScaleNormal="90" workbookViewId="0">
      <selection activeCell="E6" sqref="E6"/>
    </sheetView>
  </sheetViews>
  <sheetFormatPr baseColWidth="10" defaultColWidth="11.5" defaultRowHeight="18" x14ac:dyDescent="0.2"/>
  <cols>
    <col min="1" max="1" width="16.6640625" style="16" customWidth="1"/>
    <col min="2" max="4" width="16.6640625" style="17" customWidth="1"/>
    <col min="5" max="5" width="14.1640625" bestFit="1" customWidth="1"/>
    <col min="6" max="6" width="14.33203125" bestFit="1" customWidth="1"/>
    <col min="7" max="7" width="15" bestFit="1" customWidth="1"/>
  </cols>
  <sheetData>
    <row r="1" spans="1:7" ht="19" x14ac:dyDescent="0.25">
      <c r="A1" s="15" t="s">
        <v>2</v>
      </c>
      <c r="B1" s="10" t="s">
        <v>6</v>
      </c>
      <c r="C1" s="10" t="s">
        <v>7</v>
      </c>
      <c r="D1" s="19"/>
      <c r="E1" s="12"/>
      <c r="F1" s="73" t="s">
        <v>268</v>
      </c>
      <c r="G1" s="73" t="s">
        <v>269</v>
      </c>
    </row>
    <row r="2" spans="1:7" x14ac:dyDescent="0.2">
      <c r="A2" s="16" t="s">
        <v>14</v>
      </c>
      <c r="B2" s="13">
        <v>20.45</v>
      </c>
      <c r="C2" s="13">
        <v>318375</v>
      </c>
      <c r="D2" s="13"/>
      <c r="E2" s="73" t="s">
        <v>270</v>
      </c>
      <c r="F2" s="76">
        <f>MIN(B1:B255)</f>
        <v>15.53</v>
      </c>
      <c r="G2" s="76">
        <f>MAX(B1:B255)</f>
        <v>23.01</v>
      </c>
    </row>
    <row r="3" spans="1:7" x14ac:dyDescent="0.2">
      <c r="A3" s="16" t="s">
        <v>15</v>
      </c>
      <c r="B3" s="13">
        <v>20.32</v>
      </c>
      <c r="C3" s="13">
        <v>486861</v>
      </c>
      <c r="D3" s="13"/>
      <c r="E3" s="73" t="s">
        <v>7</v>
      </c>
      <c r="F3" s="76">
        <f>MIN(C1:C255)</f>
        <v>192556</v>
      </c>
      <c r="G3" s="76">
        <f>MAX(C1:C255)</f>
        <v>8260856</v>
      </c>
    </row>
    <row r="4" spans="1:7" x14ac:dyDescent="0.2">
      <c r="A4" s="16" t="s">
        <v>16</v>
      </c>
      <c r="B4" s="13">
        <v>20.02</v>
      </c>
      <c r="C4" s="13">
        <v>556995</v>
      </c>
      <c r="D4" s="13"/>
    </row>
    <row r="5" spans="1:7" x14ac:dyDescent="0.2">
      <c r="A5" s="16" t="s">
        <v>17</v>
      </c>
      <c r="B5" s="13">
        <v>19.98</v>
      </c>
      <c r="C5" s="13">
        <v>278345</v>
      </c>
      <c r="D5" s="13"/>
    </row>
    <row r="6" spans="1:7" x14ac:dyDescent="0.2">
      <c r="A6" s="16" t="s">
        <v>18</v>
      </c>
      <c r="B6" s="13">
        <v>19.86</v>
      </c>
      <c r="C6" s="13">
        <v>319034</v>
      </c>
      <c r="D6" s="13"/>
    </row>
    <row r="7" spans="1:7" x14ac:dyDescent="0.2">
      <c r="A7" s="16" t="s">
        <v>19</v>
      </c>
      <c r="B7" s="13">
        <v>20.39</v>
      </c>
      <c r="C7" s="13">
        <v>409517</v>
      </c>
      <c r="D7" s="13"/>
    </row>
    <row r="8" spans="1:7" x14ac:dyDescent="0.2">
      <c r="A8" s="16" t="s">
        <v>20</v>
      </c>
      <c r="B8" s="13">
        <v>20.56</v>
      </c>
      <c r="C8" s="13">
        <v>596294</v>
      </c>
      <c r="D8" s="13"/>
    </row>
    <row r="9" spans="1:7" x14ac:dyDescent="0.2">
      <c r="A9" s="16" t="s">
        <v>21</v>
      </c>
      <c r="B9" s="13">
        <v>20.7</v>
      </c>
      <c r="C9" s="13">
        <v>661417</v>
      </c>
      <c r="D9" s="13"/>
    </row>
    <row r="10" spans="1:7" x14ac:dyDescent="0.2">
      <c r="A10" s="16" t="s">
        <v>22</v>
      </c>
      <c r="B10" s="13">
        <v>20.43</v>
      </c>
      <c r="C10" s="13">
        <v>992725</v>
      </c>
      <c r="D10" s="13"/>
    </row>
    <row r="11" spans="1:7" x14ac:dyDescent="0.2">
      <c r="A11" s="16" t="s">
        <v>23</v>
      </c>
      <c r="B11" s="13">
        <v>20.55</v>
      </c>
      <c r="C11" s="13">
        <v>336200</v>
      </c>
      <c r="D11" s="13"/>
    </row>
    <row r="12" spans="1:7" x14ac:dyDescent="0.2">
      <c r="A12" s="16" t="s">
        <v>24</v>
      </c>
      <c r="B12" s="13">
        <v>20.55</v>
      </c>
      <c r="C12" s="13">
        <v>383641</v>
      </c>
      <c r="D12" s="13"/>
    </row>
    <row r="13" spans="1:7" x14ac:dyDescent="0.2">
      <c r="A13" s="16" t="s">
        <v>25</v>
      </c>
      <c r="B13" s="13">
        <v>20.5</v>
      </c>
      <c r="C13" s="13">
        <v>564314</v>
      </c>
      <c r="D13" s="13"/>
    </row>
    <row r="14" spans="1:7" x14ac:dyDescent="0.2">
      <c r="A14" s="16" t="s">
        <v>26</v>
      </c>
      <c r="B14" s="13">
        <v>20.63</v>
      </c>
      <c r="C14" s="13">
        <v>538674</v>
      </c>
      <c r="D14" s="13"/>
    </row>
    <row r="15" spans="1:7" x14ac:dyDescent="0.2">
      <c r="A15" s="16" t="s">
        <v>27</v>
      </c>
      <c r="B15" s="13">
        <v>21.03</v>
      </c>
      <c r="C15" s="13">
        <v>875464</v>
      </c>
      <c r="D15" s="13"/>
    </row>
    <row r="16" spans="1:7" x14ac:dyDescent="0.2">
      <c r="A16" s="16" t="s">
        <v>28</v>
      </c>
      <c r="B16" s="13">
        <v>21.15</v>
      </c>
      <c r="C16" s="13">
        <v>437343</v>
      </c>
      <c r="D16" s="13"/>
    </row>
    <row r="17" spans="1:4" x14ac:dyDescent="0.2">
      <c r="A17" s="16" t="s">
        <v>29</v>
      </c>
      <c r="B17" s="13">
        <v>21.08</v>
      </c>
      <c r="C17" s="13">
        <v>541591</v>
      </c>
      <c r="D17" s="13"/>
    </row>
    <row r="18" spans="1:4" x14ac:dyDescent="0.2">
      <c r="A18" s="16" t="s">
        <v>30</v>
      </c>
      <c r="B18" s="13">
        <v>21.04</v>
      </c>
      <c r="C18" s="13">
        <v>377108</v>
      </c>
      <c r="D18" s="13"/>
    </row>
    <row r="19" spans="1:4" x14ac:dyDescent="0.2">
      <c r="A19" s="16" t="s">
        <v>31</v>
      </c>
      <c r="B19" s="13">
        <v>21.01</v>
      </c>
      <c r="C19" s="13">
        <v>330863</v>
      </c>
      <c r="D19" s="13"/>
    </row>
    <row r="20" spans="1:4" x14ac:dyDescent="0.2">
      <c r="A20" s="16" t="s">
        <v>32</v>
      </c>
      <c r="B20" s="13">
        <v>21.18</v>
      </c>
      <c r="C20" s="13">
        <v>636085</v>
      </c>
      <c r="D20" s="13"/>
    </row>
    <row r="21" spans="1:4" x14ac:dyDescent="0.2">
      <c r="A21" s="16" t="s">
        <v>33</v>
      </c>
      <c r="B21" s="13">
        <v>21.04</v>
      </c>
      <c r="C21" s="13">
        <v>735780</v>
      </c>
      <c r="D21" s="13"/>
    </row>
    <row r="22" spans="1:4" x14ac:dyDescent="0.2">
      <c r="A22" s="16" t="s">
        <v>34</v>
      </c>
      <c r="B22" s="13">
        <v>21.29</v>
      </c>
      <c r="C22" s="13">
        <v>672594</v>
      </c>
      <c r="D22" s="13"/>
    </row>
    <row r="23" spans="1:4" x14ac:dyDescent="0.2">
      <c r="A23" s="16" t="s">
        <v>35</v>
      </c>
      <c r="B23" s="13">
        <v>21.29</v>
      </c>
      <c r="C23" s="13">
        <v>638630</v>
      </c>
      <c r="D23" s="13"/>
    </row>
    <row r="24" spans="1:4" x14ac:dyDescent="0.2">
      <c r="A24" s="16" t="s">
        <v>36</v>
      </c>
      <c r="B24" s="13">
        <v>21.57</v>
      </c>
      <c r="C24" s="13">
        <v>945534</v>
      </c>
      <c r="D24" s="13"/>
    </row>
    <row r="25" spans="1:4" x14ac:dyDescent="0.2">
      <c r="A25" s="16" t="s">
        <v>37</v>
      </c>
      <c r="B25" s="13">
        <v>21.6</v>
      </c>
      <c r="C25" s="13">
        <v>494964</v>
      </c>
      <c r="D25" s="13"/>
    </row>
    <row r="26" spans="1:4" x14ac:dyDescent="0.2">
      <c r="A26" s="16" t="s">
        <v>38</v>
      </c>
      <c r="B26" s="13">
        <v>21.78</v>
      </c>
      <c r="C26" s="13">
        <v>438805</v>
      </c>
      <c r="D26" s="13"/>
    </row>
    <row r="27" spans="1:4" x14ac:dyDescent="0.2">
      <c r="A27" s="16" t="s">
        <v>39</v>
      </c>
      <c r="B27" s="13">
        <v>21.85</v>
      </c>
      <c r="C27" s="13">
        <v>667977</v>
      </c>
      <c r="D27" s="13"/>
    </row>
    <row r="28" spans="1:4" x14ac:dyDescent="0.2">
      <c r="A28" s="16" t="s">
        <v>40</v>
      </c>
      <c r="B28" s="13">
        <v>21.73</v>
      </c>
      <c r="C28" s="13">
        <v>707464</v>
      </c>
      <c r="D28" s="13"/>
    </row>
    <row r="29" spans="1:4" x14ac:dyDescent="0.2">
      <c r="A29" s="16" t="s">
        <v>41</v>
      </c>
      <c r="B29" s="13">
        <v>21.56</v>
      </c>
      <c r="C29" s="13">
        <v>319291</v>
      </c>
      <c r="D29" s="13"/>
    </row>
    <row r="30" spans="1:4" x14ac:dyDescent="0.2">
      <c r="A30" s="16" t="s">
        <v>42</v>
      </c>
      <c r="B30" s="13">
        <v>21.48</v>
      </c>
      <c r="C30" s="13">
        <v>250349</v>
      </c>
      <c r="D30" s="13"/>
    </row>
    <row r="31" spans="1:4" x14ac:dyDescent="0.2">
      <c r="A31" s="16" t="s">
        <v>43</v>
      </c>
      <c r="B31" s="13">
        <v>21.37</v>
      </c>
      <c r="C31" s="13">
        <v>416375</v>
      </c>
      <c r="D31" s="13"/>
    </row>
    <row r="32" spans="1:4" x14ac:dyDescent="0.2">
      <c r="A32" s="16" t="s">
        <v>44</v>
      </c>
      <c r="B32" s="13">
        <v>21.37</v>
      </c>
      <c r="C32" s="13">
        <v>401944</v>
      </c>
      <c r="D32" s="13"/>
    </row>
    <row r="33" spans="1:4" x14ac:dyDescent="0.2">
      <c r="A33" s="16" t="s">
        <v>45</v>
      </c>
      <c r="B33" s="13">
        <v>21.77</v>
      </c>
      <c r="C33" s="13">
        <v>677311</v>
      </c>
      <c r="D33" s="13"/>
    </row>
    <row r="34" spans="1:4" x14ac:dyDescent="0.2">
      <c r="A34" s="16" t="s">
        <v>46</v>
      </c>
      <c r="B34" s="13">
        <v>21.73</v>
      </c>
      <c r="C34" s="13">
        <v>915424</v>
      </c>
      <c r="D34" s="13"/>
    </row>
    <row r="35" spans="1:4" x14ac:dyDescent="0.2">
      <c r="A35" s="16" t="s">
        <v>47</v>
      </c>
      <c r="B35" s="13">
        <v>21.7</v>
      </c>
      <c r="C35" s="13">
        <v>1164179</v>
      </c>
      <c r="D35" s="13"/>
    </row>
    <row r="36" spans="1:4" x14ac:dyDescent="0.2">
      <c r="A36" s="16" t="s">
        <v>48</v>
      </c>
      <c r="B36" s="13">
        <v>21.73</v>
      </c>
      <c r="C36" s="13">
        <v>638221</v>
      </c>
      <c r="D36" s="13"/>
    </row>
    <row r="37" spans="1:4" x14ac:dyDescent="0.2">
      <c r="A37" s="16" t="s">
        <v>49</v>
      </c>
      <c r="B37" s="13">
        <v>21.31</v>
      </c>
      <c r="C37" s="13">
        <v>1317362</v>
      </c>
      <c r="D37" s="13"/>
    </row>
    <row r="38" spans="1:4" x14ac:dyDescent="0.2">
      <c r="A38" s="16" t="s">
        <v>50</v>
      </c>
      <c r="B38" s="13">
        <v>21.55</v>
      </c>
      <c r="C38" s="13">
        <v>734129</v>
      </c>
      <c r="D38" s="13"/>
    </row>
    <row r="39" spans="1:4" x14ac:dyDescent="0.2">
      <c r="A39" s="16" t="s">
        <v>51</v>
      </c>
      <c r="B39" s="13">
        <v>21.82</v>
      </c>
      <c r="C39" s="13">
        <v>842911</v>
      </c>
      <c r="D39" s="13"/>
    </row>
    <row r="40" spans="1:4" x14ac:dyDescent="0.2">
      <c r="A40" s="16" t="s">
        <v>52</v>
      </c>
      <c r="B40" s="13">
        <v>21.34</v>
      </c>
      <c r="C40" s="13">
        <v>770535</v>
      </c>
      <c r="D40" s="13"/>
    </row>
    <row r="41" spans="1:4" x14ac:dyDescent="0.2">
      <c r="A41" s="16" t="s">
        <v>53</v>
      </c>
      <c r="B41" s="13">
        <v>21.73</v>
      </c>
      <c r="C41" s="13">
        <v>1180856</v>
      </c>
      <c r="D41" s="13"/>
    </row>
    <row r="42" spans="1:4" x14ac:dyDescent="0.2">
      <c r="A42" s="16" t="s">
        <v>54</v>
      </c>
      <c r="B42" s="13">
        <v>20.89</v>
      </c>
      <c r="C42" s="13">
        <v>3551302</v>
      </c>
      <c r="D42" s="13"/>
    </row>
    <row r="43" spans="1:4" x14ac:dyDescent="0.2">
      <c r="A43" s="16" t="s">
        <v>55</v>
      </c>
      <c r="B43" s="13">
        <v>21.41</v>
      </c>
      <c r="C43" s="13">
        <v>2472807</v>
      </c>
      <c r="D43" s="13"/>
    </row>
    <row r="44" spans="1:4" x14ac:dyDescent="0.2">
      <c r="A44" s="16" t="s">
        <v>56</v>
      </c>
      <c r="B44" s="13">
        <v>21.82</v>
      </c>
      <c r="C44" s="13">
        <v>1557158</v>
      </c>
      <c r="D44" s="13"/>
    </row>
    <row r="45" spans="1:4" x14ac:dyDescent="0.2">
      <c r="A45" s="16" t="s">
        <v>57</v>
      </c>
      <c r="B45" s="13">
        <v>21.09</v>
      </c>
      <c r="C45" s="13">
        <v>1274832</v>
      </c>
      <c r="D45" s="13"/>
    </row>
    <row r="46" spans="1:4" x14ac:dyDescent="0.2">
      <c r="A46" s="16" t="s">
        <v>58</v>
      </c>
      <c r="B46" s="13">
        <v>20.53</v>
      </c>
      <c r="C46" s="13">
        <v>1265085</v>
      </c>
      <c r="D46" s="13"/>
    </row>
    <row r="47" spans="1:4" x14ac:dyDescent="0.2">
      <c r="A47" s="16" t="s">
        <v>59</v>
      </c>
      <c r="B47" s="13">
        <v>20.8</v>
      </c>
      <c r="C47" s="13">
        <v>922278</v>
      </c>
      <c r="D47" s="13"/>
    </row>
    <row r="48" spans="1:4" x14ac:dyDescent="0.2">
      <c r="A48" s="16" t="s">
        <v>60</v>
      </c>
      <c r="B48" s="13">
        <v>21.08</v>
      </c>
      <c r="C48" s="13">
        <v>666957</v>
      </c>
      <c r="D48" s="13"/>
    </row>
    <row r="49" spans="1:4" x14ac:dyDescent="0.2">
      <c r="A49" s="16" t="s">
        <v>61</v>
      </c>
      <c r="B49" s="13">
        <v>21.59</v>
      </c>
      <c r="C49" s="13">
        <v>1400949</v>
      </c>
      <c r="D49" s="13"/>
    </row>
    <row r="50" spans="1:4" x14ac:dyDescent="0.2">
      <c r="A50" s="16" t="s">
        <v>62</v>
      </c>
      <c r="B50" s="13">
        <v>21.51</v>
      </c>
      <c r="C50" s="13">
        <v>557773</v>
      </c>
      <c r="D50" s="13"/>
    </row>
    <row r="51" spans="1:4" x14ac:dyDescent="0.2">
      <c r="A51" s="16" t="s">
        <v>63</v>
      </c>
      <c r="B51" s="13">
        <v>21.73</v>
      </c>
      <c r="C51" s="13">
        <v>999009</v>
      </c>
      <c r="D51" s="13"/>
    </row>
    <row r="52" spans="1:4" x14ac:dyDescent="0.2">
      <c r="A52" s="16" t="s">
        <v>64</v>
      </c>
      <c r="B52" s="13">
        <v>21.95</v>
      </c>
      <c r="C52" s="13">
        <v>1120489</v>
      </c>
      <c r="D52" s="13"/>
    </row>
    <row r="53" spans="1:4" x14ac:dyDescent="0.2">
      <c r="A53" s="16" t="s">
        <v>65</v>
      </c>
      <c r="B53" s="13">
        <v>21.66</v>
      </c>
      <c r="C53" s="13">
        <v>526712</v>
      </c>
      <c r="D53" s="13"/>
    </row>
    <row r="54" spans="1:4" x14ac:dyDescent="0.2">
      <c r="A54" s="16" t="s">
        <v>66</v>
      </c>
      <c r="B54" s="13">
        <v>21</v>
      </c>
      <c r="C54" s="13">
        <v>3386112</v>
      </c>
      <c r="D54" s="13"/>
    </row>
    <row r="55" spans="1:4" x14ac:dyDescent="0.2">
      <c r="A55" s="16" t="s">
        <v>67</v>
      </c>
      <c r="B55" s="13">
        <v>21.16</v>
      </c>
      <c r="C55" s="13">
        <v>1426786</v>
      </c>
      <c r="D55" s="13"/>
    </row>
    <row r="56" spans="1:4" x14ac:dyDescent="0.2">
      <c r="A56" s="16" t="s">
        <v>68</v>
      </c>
      <c r="B56" s="13">
        <v>21.02</v>
      </c>
      <c r="C56" s="13">
        <v>588162</v>
      </c>
      <c r="D56" s="13"/>
    </row>
    <row r="57" spans="1:4" x14ac:dyDescent="0.2">
      <c r="A57" s="16" t="s">
        <v>69</v>
      </c>
      <c r="B57" s="13">
        <v>21.22</v>
      </c>
      <c r="C57" s="13">
        <v>522205</v>
      </c>
      <c r="D57" s="13"/>
    </row>
    <row r="58" spans="1:4" x14ac:dyDescent="0.2">
      <c r="A58" s="16" t="s">
        <v>70</v>
      </c>
      <c r="B58" s="13">
        <v>21.32</v>
      </c>
      <c r="C58" s="13">
        <v>928537</v>
      </c>
      <c r="D58" s="13"/>
    </row>
    <row r="59" spans="1:4" x14ac:dyDescent="0.2">
      <c r="A59" s="16" t="s">
        <v>71</v>
      </c>
      <c r="B59" s="13">
        <v>21.03</v>
      </c>
      <c r="C59" s="13">
        <v>528354</v>
      </c>
      <c r="D59" s="13"/>
    </row>
    <row r="60" spans="1:4" x14ac:dyDescent="0.2">
      <c r="A60" s="16" t="s">
        <v>72</v>
      </c>
      <c r="B60" s="13">
        <v>21.24</v>
      </c>
      <c r="C60" s="13">
        <v>613273</v>
      </c>
      <c r="D60" s="13"/>
    </row>
    <row r="61" spans="1:4" x14ac:dyDescent="0.2">
      <c r="A61" s="16" t="s">
        <v>73</v>
      </c>
      <c r="B61" s="13">
        <v>21.47</v>
      </c>
      <c r="C61" s="13">
        <v>646126</v>
      </c>
      <c r="D61" s="13"/>
    </row>
    <row r="62" spans="1:4" x14ac:dyDescent="0.2">
      <c r="A62" s="16" t="s">
        <v>74</v>
      </c>
      <c r="B62" s="13">
        <v>21.44</v>
      </c>
      <c r="C62" s="13">
        <v>472246</v>
      </c>
      <c r="D62" s="13"/>
    </row>
    <row r="63" spans="1:4" x14ac:dyDescent="0.2">
      <c r="A63" s="16" t="s">
        <v>75</v>
      </c>
      <c r="B63" s="13">
        <v>21.85</v>
      </c>
      <c r="C63" s="13">
        <v>701551</v>
      </c>
      <c r="D63" s="13"/>
    </row>
    <row r="64" spans="1:4" x14ac:dyDescent="0.2">
      <c r="A64" s="16" t="s">
        <v>76</v>
      </c>
      <c r="B64" s="13">
        <v>21.69</v>
      </c>
      <c r="C64" s="13">
        <v>759042</v>
      </c>
      <c r="D64" s="13"/>
    </row>
    <row r="65" spans="1:4" x14ac:dyDescent="0.2">
      <c r="A65" s="16" t="s">
        <v>77</v>
      </c>
      <c r="B65" s="13">
        <v>21.12</v>
      </c>
      <c r="C65" s="13">
        <v>716367</v>
      </c>
      <c r="D65" s="13"/>
    </row>
    <row r="66" spans="1:4" x14ac:dyDescent="0.2">
      <c r="A66" s="16" t="s">
        <v>78</v>
      </c>
      <c r="B66" s="13">
        <v>21.56</v>
      </c>
      <c r="C66" s="13">
        <v>1277262</v>
      </c>
      <c r="D66" s="13"/>
    </row>
    <row r="67" spans="1:4" x14ac:dyDescent="0.2">
      <c r="A67" s="16" t="s">
        <v>79</v>
      </c>
      <c r="B67" s="13">
        <v>21.15</v>
      </c>
      <c r="C67" s="13">
        <v>574168</v>
      </c>
      <c r="D67" s="13"/>
    </row>
    <row r="68" spans="1:4" x14ac:dyDescent="0.2">
      <c r="A68" s="16" t="s">
        <v>80</v>
      </c>
      <c r="B68" s="13">
        <v>21.65</v>
      </c>
      <c r="C68" s="13">
        <v>695505</v>
      </c>
      <c r="D68" s="13"/>
    </row>
    <row r="69" spans="1:4" x14ac:dyDescent="0.2">
      <c r="A69" s="16" t="s">
        <v>81</v>
      </c>
      <c r="B69" s="13">
        <v>21.26</v>
      </c>
      <c r="C69" s="13">
        <v>779702</v>
      </c>
      <c r="D69" s="13"/>
    </row>
    <row r="70" spans="1:4" x14ac:dyDescent="0.2">
      <c r="A70" s="16" t="s">
        <v>82</v>
      </c>
      <c r="B70" s="13">
        <v>21.43</v>
      </c>
      <c r="C70" s="13">
        <v>494767</v>
      </c>
      <c r="D70" s="13"/>
    </row>
    <row r="71" spans="1:4" x14ac:dyDescent="0.2">
      <c r="A71" s="16" t="s">
        <v>83</v>
      </c>
      <c r="B71" s="13">
        <v>21.36</v>
      </c>
      <c r="C71" s="13">
        <v>517008</v>
      </c>
      <c r="D71" s="13"/>
    </row>
    <row r="72" spans="1:4" x14ac:dyDescent="0.2">
      <c r="A72" s="16" t="s">
        <v>84</v>
      </c>
      <c r="B72" s="13">
        <v>21.36</v>
      </c>
      <c r="C72" s="13">
        <v>554904</v>
      </c>
      <c r="D72" s="13"/>
    </row>
    <row r="73" spans="1:4" x14ac:dyDescent="0.2">
      <c r="A73" s="16" t="s">
        <v>85</v>
      </c>
      <c r="B73" s="13">
        <v>21.23</v>
      </c>
      <c r="C73" s="13">
        <v>605995</v>
      </c>
      <c r="D73" s="13"/>
    </row>
    <row r="74" spans="1:4" x14ac:dyDescent="0.2">
      <c r="A74" s="16" t="s">
        <v>86</v>
      </c>
      <c r="B74" s="13">
        <v>20.89</v>
      </c>
      <c r="C74" s="13">
        <v>1437861</v>
      </c>
      <c r="D74" s="13"/>
    </row>
    <row r="75" spans="1:4" x14ac:dyDescent="0.2">
      <c r="A75" s="16" t="s">
        <v>87</v>
      </c>
      <c r="B75" s="13">
        <v>21.06</v>
      </c>
      <c r="C75" s="13">
        <v>701161</v>
      </c>
      <c r="D75" s="13"/>
    </row>
    <row r="76" spans="1:4" x14ac:dyDescent="0.2">
      <c r="A76" s="16" t="s">
        <v>88</v>
      </c>
      <c r="B76" s="13">
        <v>21.04</v>
      </c>
      <c r="C76" s="13">
        <v>621742</v>
      </c>
      <c r="D76" s="13"/>
    </row>
    <row r="77" spans="1:4" x14ac:dyDescent="0.2">
      <c r="A77" s="16" t="s">
        <v>89</v>
      </c>
      <c r="B77" s="13">
        <v>19.989999999999998</v>
      </c>
      <c r="C77" s="13">
        <v>1445639</v>
      </c>
      <c r="D77" s="13"/>
    </row>
    <row r="78" spans="1:4" x14ac:dyDescent="0.2">
      <c r="A78" s="16" t="s">
        <v>90</v>
      </c>
      <c r="B78" s="13">
        <v>20.27</v>
      </c>
      <c r="C78" s="13">
        <v>612445</v>
      </c>
      <c r="D78" s="13"/>
    </row>
    <row r="79" spans="1:4" x14ac:dyDescent="0.2">
      <c r="A79" s="16" t="s">
        <v>91</v>
      </c>
      <c r="B79" s="13">
        <v>20.99</v>
      </c>
      <c r="C79" s="13">
        <v>832498</v>
      </c>
      <c r="D79" s="13"/>
    </row>
    <row r="80" spans="1:4" x14ac:dyDescent="0.2">
      <c r="A80" s="16" t="s">
        <v>92</v>
      </c>
      <c r="B80" s="13">
        <v>20.75</v>
      </c>
      <c r="C80" s="13">
        <v>793562</v>
      </c>
      <c r="D80" s="13"/>
    </row>
    <row r="81" spans="1:4" x14ac:dyDescent="0.2">
      <c r="A81" s="16" t="s">
        <v>93</v>
      </c>
      <c r="B81" s="13">
        <v>20.99</v>
      </c>
      <c r="C81" s="13">
        <v>597340</v>
      </c>
      <c r="D81" s="13"/>
    </row>
    <row r="82" spans="1:4" x14ac:dyDescent="0.2">
      <c r="A82" s="16" t="s">
        <v>94</v>
      </c>
      <c r="B82" s="13">
        <v>21.19</v>
      </c>
      <c r="C82" s="13">
        <v>682539</v>
      </c>
      <c r="D82" s="13"/>
    </row>
    <row r="83" spans="1:4" x14ac:dyDescent="0.2">
      <c r="A83" s="16" t="s">
        <v>95</v>
      </c>
      <c r="B83" s="13">
        <v>21.21</v>
      </c>
      <c r="C83" s="13">
        <v>639463</v>
      </c>
      <c r="D83" s="13"/>
    </row>
    <row r="84" spans="1:4" x14ac:dyDescent="0.2">
      <c r="A84" s="16" t="s">
        <v>96</v>
      </c>
      <c r="B84" s="13">
        <v>20.88</v>
      </c>
      <c r="C84" s="13">
        <v>595707</v>
      </c>
      <c r="D84" s="13"/>
    </row>
    <row r="85" spans="1:4" x14ac:dyDescent="0.2">
      <c r="A85" s="16" t="s">
        <v>97</v>
      </c>
      <c r="B85" s="13">
        <v>20.47</v>
      </c>
      <c r="C85" s="13">
        <v>1372294</v>
      </c>
      <c r="D85" s="13"/>
    </row>
    <row r="86" spans="1:4" x14ac:dyDescent="0.2">
      <c r="A86" s="16" t="s">
        <v>98</v>
      </c>
      <c r="B86" s="13">
        <v>20.5</v>
      </c>
      <c r="C86" s="13">
        <v>589857</v>
      </c>
      <c r="D86" s="13"/>
    </row>
    <row r="87" spans="1:4" x14ac:dyDescent="0.2">
      <c r="A87" s="16" t="s">
        <v>99</v>
      </c>
      <c r="B87" s="13">
        <v>20.059999999999999</v>
      </c>
      <c r="C87" s="13">
        <v>1108499</v>
      </c>
      <c r="D87" s="13"/>
    </row>
    <row r="88" spans="1:4" x14ac:dyDescent="0.2">
      <c r="A88" s="16" t="s">
        <v>100</v>
      </c>
      <c r="B88" s="13">
        <v>20.59</v>
      </c>
      <c r="C88" s="13">
        <v>736025</v>
      </c>
      <c r="D88" s="13"/>
    </row>
    <row r="89" spans="1:4" x14ac:dyDescent="0.2">
      <c r="A89" s="16" t="s">
        <v>101</v>
      </c>
      <c r="B89" s="13">
        <v>21.05</v>
      </c>
      <c r="C89" s="13">
        <v>1157320</v>
      </c>
      <c r="D89" s="13"/>
    </row>
    <row r="90" spans="1:4" x14ac:dyDescent="0.2">
      <c r="A90" s="16" t="s">
        <v>102</v>
      </c>
      <c r="B90" s="13">
        <v>20.64</v>
      </c>
      <c r="C90" s="13">
        <v>1027123</v>
      </c>
      <c r="D90" s="13"/>
    </row>
    <row r="91" spans="1:4" x14ac:dyDescent="0.2">
      <c r="A91" s="16" t="s">
        <v>103</v>
      </c>
      <c r="B91" s="13">
        <v>20.420000000000002</v>
      </c>
      <c r="C91" s="13">
        <v>802632</v>
      </c>
      <c r="D91" s="13"/>
    </row>
    <row r="92" spans="1:4" x14ac:dyDescent="0.2">
      <c r="A92" s="16" t="s">
        <v>104</v>
      </c>
      <c r="B92" s="13">
        <v>19.84</v>
      </c>
      <c r="C92" s="13">
        <v>1178402</v>
      </c>
      <c r="D92" s="13"/>
    </row>
    <row r="93" spans="1:4" x14ac:dyDescent="0.2">
      <c r="A93" s="16" t="s">
        <v>105</v>
      </c>
      <c r="B93" s="13">
        <v>20.59</v>
      </c>
      <c r="C93" s="13">
        <v>1007285</v>
      </c>
      <c r="D93" s="13"/>
    </row>
    <row r="94" spans="1:4" x14ac:dyDescent="0.2">
      <c r="A94" s="16" t="s">
        <v>106</v>
      </c>
      <c r="B94" s="13">
        <v>20.62</v>
      </c>
      <c r="C94" s="13">
        <v>584338</v>
      </c>
      <c r="D94" s="13"/>
    </row>
    <row r="95" spans="1:4" x14ac:dyDescent="0.2">
      <c r="A95" s="16" t="s">
        <v>107</v>
      </c>
      <c r="B95" s="13">
        <v>20.7</v>
      </c>
      <c r="C95" s="13">
        <v>648545</v>
      </c>
      <c r="D95" s="13"/>
    </row>
    <row r="96" spans="1:4" x14ac:dyDescent="0.2">
      <c r="A96" s="16" t="s">
        <v>108</v>
      </c>
      <c r="B96" s="13">
        <v>20.39</v>
      </c>
      <c r="C96" s="13">
        <v>711385</v>
      </c>
      <c r="D96" s="13"/>
    </row>
    <row r="97" spans="1:4" x14ac:dyDescent="0.2">
      <c r="A97" s="16" t="s">
        <v>109</v>
      </c>
      <c r="B97" s="13">
        <v>20.440000000000001</v>
      </c>
      <c r="C97" s="13">
        <v>495855</v>
      </c>
      <c r="D97" s="13"/>
    </row>
    <row r="98" spans="1:4" x14ac:dyDescent="0.2">
      <c r="A98" s="16" t="s">
        <v>110</v>
      </c>
      <c r="B98" s="13">
        <v>20.65</v>
      </c>
      <c r="C98" s="13">
        <v>652779</v>
      </c>
      <c r="D98" s="13"/>
    </row>
    <row r="99" spans="1:4" x14ac:dyDescent="0.2">
      <c r="A99" s="16" t="s">
        <v>111</v>
      </c>
      <c r="B99" s="13">
        <v>20.34</v>
      </c>
      <c r="C99" s="13">
        <v>2212867</v>
      </c>
      <c r="D99" s="13"/>
    </row>
    <row r="100" spans="1:4" x14ac:dyDescent="0.2">
      <c r="A100" s="16" t="s">
        <v>112</v>
      </c>
      <c r="B100" s="13">
        <v>20</v>
      </c>
      <c r="C100" s="13">
        <v>916843</v>
      </c>
      <c r="D100" s="13"/>
    </row>
    <row r="101" spans="1:4" x14ac:dyDescent="0.2">
      <c r="A101" s="16" t="s">
        <v>113</v>
      </c>
      <c r="B101" s="13">
        <v>19.510000000000002</v>
      </c>
      <c r="C101" s="13">
        <v>1078304</v>
      </c>
      <c r="D101" s="13"/>
    </row>
    <row r="102" spans="1:4" x14ac:dyDescent="0.2">
      <c r="A102" s="16" t="s">
        <v>114</v>
      </c>
      <c r="B102" s="13">
        <v>19.8</v>
      </c>
      <c r="C102" s="13">
        <v>1242464</v>
      </c>
      <c r="D102" s="13"/>
    </row>
    <row r="103" spans="1:4" x14ac:dyDescent="0.2">
      <c r="A103" s="16" t="s">
        <v>115</v>
      </c>
      <c r="B103" s="13">
        <v>19.399999999999999</v>
      </c>
      <c r="C103" s="13">
        <v>724247</v>
      </c>
      <c r="D103" s="13"/>
    </row>
    <row r="104" spans="1:4" x14ac:dyDescent="0.2">
      <c r="A104" s="16" t="s">
        <v>116</v>
      </c>
      <c r="B104" s="13">
        <v>18.98</v>
      </c>
      <c r="C104" s="13">
        <v>1565091</v>
      </c>
      <c r="D104" s="13"/>
    </row>
    <row r="105" spans="1:4" x14ac:dyDescent="0.2">
      <c r="A105" s="16" t="s">
        <v>117</v>
      </c>
      <c r="B105" s="13">
        <v>19.11</v>
      </c>
      <c r="C105" s="13">
        <v>963307</v>
      </c>
      <c r="D105" s="13"/>
    </row>
    <row r="106" spans="1:4" x14ac:dyDescent="0.2">
      <c r="A106" s="16" t="s">
        <v>118</v>
      </c>
      <c r="B106" s="13">
        <v>18.850000000000001</v>
      </c>
      <c r="C106" s="13">
        <v>1746799</v>
      </c>
      <c r="D106" s="13"/>
    </row>
    <row r="107" spans="1:4" x14ac:dyDescent="0.2">
      <c r="A107" s="16" t="s">
        <v>119</v>
      </c>
      <c r="B107" s="13">
        <v>18.97</v>
      </c>
      <c r="C107" s="13">
        <v>1342203</v>
      </c>
      <c r="D107" s="13"/>
    </row>
    <row r="108" spans="1:4" x14ac:dyDescent="0.2">
      <c r="A108" s="16" t="s">
        <v>120</v>
      </c>
      <c r="B108" s="13">
        <v>18.8</v>
      </c>
      <c r="C108" s="13">
        <v>1152033</v>
      </c>
      <c r="D108" s="13"/>
    </row>
    <row r="109" spans="1:4" x14ac:dyDescent="0.2">
      <c r="A109" s="16" t="s">
        <v>121</v>
      </c>
      <c r="B109" s="13">
        <v>19.16</v>
      </c>
      <c r="C109" s="13">
        <v>1156782</v>
      </c>
      <c r="D109" s="13"/>
    </row>
    <row r="110" spans="1:4" x14ac:dyDescent="0.2">
      <c r="A110" s="16" t="s">
        <v>122</v>
      </c>
      <c r="B110" s="13">
        <v>19.2</v>
      </c>
      <c r="C110" s="13">
        <v>942827</v>
      </c>
      <c r="D110" s="13"/>
    </row>
    <row r="111" spans="1:4" x14ac:dyDescent="0.2">
      <c r="A111" s="16" t="s">
        <v>123</v>
      </c>
      <c r="B111" s="13">
        <v>19.38</v>
      </c>
      <c r="C111" s="13">
        <v>732356</v>
      </c>
      <c r="D111" s="13"/>
    </row>
    <row r="112" spans="1:4" x14ac:dyDescent="0.2">
      <c r="A112" s="16" t="s">
        <v>124</v>
      </c>
      <c r="B112" s="13">
        <v>19.53</v>
      </c>
      <c r="C112" s="13">
        <v>1031875</v>
      </c>
      <c r="D112" s="13"/>
    </row>
    <row r="113" spans="1:4" x14ac:dyDescent="0.2">
      <c r="A113" s="16" t="s">
        <v>125</v>
      </c>
      <c r="B113" s="13">
        <v>19.190000000000001</v>
      </c>
      <c r="C113" s="13">
        <v>812650</v>
      </c>
      <c r="D113" s="13"/>
    </row>
    <row r="114" spans="1:4" x14ac:dyDescent="0.2">
      <c r="A114" s="16" t="s">
        <v>126</v>
      </c>
      <c r="B114" s="13">
        <v>19.27</v>
      </c>
      <c r="C114" s="13">
        <v>349371</v>
      </c>
      <c r="D114" s="13"/>
    </row>
    <row r="115" spans="1:4" x14ac:dyDescent="0.2">
      <c r="A115" s="16" t="s">
        <v>127</v>
      </c>
      <c r="B115" s="13">
        <v>19.57</v>
      </c>
      <c r="C115" s="13">
        <v>701116</v>
      </c>
      <c r="D115" s="13"/>
    </row>
    <row r="116" spans="1:4" x14ac:dyDescent="0.2">
      <c r="A116" s="16" t="s">
        <v>128</v>
      </c>
      <c r="B116" s="13">
        <v>19.54</v>
      </c>
      <c r="C116" s="13">
        <v>653639</v>
      </c>
      <c r="D116" s="13"/>
    </row>
    <row r="117" spans="1:4" x14ac:dyDescent="0.2">
      <c r="A117" s="16" t="s">
        <v>129</v>
      </c>
      <c r="B117" s="13">
        <v>19.940000000000001</v>
      </c>
      <c r="C117" s="13">
        <v>663715</v>
      </c>
      <c r="D117" s="13"/>
    </row>
    <row r="118" spans="1:4" x14ac:dyDescent="0.2">
      <c r="A118" s="16" t="s">
        <v>130</v>
      </c>
      <c r="B118" s="13">
        <v>19.88</v>
      </c>
      <c r="C118" s="13">
        <v>600422</v>
      </c>
      <c r="D118" s="13"/>
    </row>
    <row r="119" spans="1:4" x14ac:dyDescent="0.2">
      <c r="A119" s="16" t="s">
        <v>131</v>
      </c>
      <c r="B119" s="13">
        <v>19.829999999999998</v>
      </c>
      <c r="C119" s="13">
        <v>462266</v>
      </c>
      <c r="D119" s="13"/>
    </row>
    <row r="120" spans="1:4" x14ac:dyDescent="0.2">
      <c r="A120" s="16" t="s">
        <v>132</v>
      </c>
      <c r="B120" s="13">
        <v>19.8</v>
      </c>
      <c r="C120" s="13">
        <v>3324301</v>
      </c>
      <c r="D120" s="13"/>
    </row>
    <row r="121" spans="1:4" x14ac:dyDescent="0.2">
      <c r="A121" s="16" t="s">
        <v>133</v>
      </c>
      <c r="B121" s="13">
        <v>19.649999999999999</v>
      </c>
      <c r="C121" s="13">
        <v>719743</v>
      </c>
      <c r="D121" s="13"/>
    </row>
    <row r="122" spans="1:4" x14ac:dyDescent="0.2">
      <c r="A122" s="16" t="s">
        <v>134</v>
      </c>
      <c r="B122" s="13">
        <v>19.940000000000001</v>
      </c>
      <c r="C122" s="13">
        <v>518389</v>
      </c>
      <c r="D122" s="13"/>
    </row>
    <row r="123" spans="1:4" x14ac:dyDescent="0.2">
      <c r="A123" s="16" t="s">
        <v>135</v>
      </c>
      <c r="B123" s="13">
        <v>19.91</v>
      </c>
      <c r="C123" s="13">
        <v>637654</v>
      </c>
      <c r="D123" s="13"/>
    </row>
    <row r="124" spans="1:4" x14ac:dyDescent="0.2">
      <c r="A124" s="16" t="s">
        <v>136</v>
      </c>
      <c r="B124" s="13">
        <v>20.04</v>
      </c>
      <c r="C124" s="13">
        <v>765277</v>
      </c>
      <c r="D124" s="13"/>
    </row>
    <row r="125" spans="1:4" x14ac:dyDescent="0.2">
      <c r="A125" s="16" t="s">
        <v>137</v>
      </c>
      <c r="B125" s="13">
        <v>20.18</v>
      </c>
      <c r="C125" s="13">
        <v>850210</v>
      </c>
      <c r="D125" s="13"/>
    </row>
    <row r="126" spans="1:4" x14ac:dyDescent="0.2">
      <c r="A126" s="16" t="s">
        <v>138</v>
      </c>
      <c r="B126" s="13">
        <v>19.82</v>
      </c>
      <c r="C126" s="13">
        <v>525529</v>
      </c>
      <c r="D126" s="13"/>
    </row>
    <row r="127" spans="1:4" x14ac:dyDescent="0.2">
      <c r="A127" s="16" t="s">
        <v>139</v>
      </c>
      <c r="B127" s="13">
        <v>19.989999999999998</v>
      </c>
      <c r="C127" s="13">
        <v>553735</v>
      </c>
      <c r="D127" s="13"/>
    </row>
    <row r="128" spans="1:4" x14ac:dyDescent="0.2">
      <c r="A128" s="16" t="s">
        <v>140</v>
      </c>
      <c r="B128" s="13">
        <v>20.63</v>
      </c>
      <c r="C128" s="13">
        <v>1495941</v>
      </c>
      <c r="D128" s="13"/>
    </row>
    <row r="129" spans="1:4" x14ac:dyDescent="0.2">
      <c r="A129" s="16" t="s">
        <v>141</v>
      </c>
      <c r="B129" s="13">
        <v>21</v>
      </c>
      <c r="C129" s="13">
        <v>1434200</v>
      </c>
      <c r="D129" s="13"/>
    </row>
    <row r="130" spans="1:4" x14ac:dyDescent="0.2">
      <c r="A130" s="16" t="s">
        <v>142</v>
      </c>
      <c r="B130" s="13">
        <v>21.5</v>
      </c>
      <c r="C130" s="13">
        <v>1158198</v>
      </c>
      <c r="D130" s="13"/>
    </row>
    <row r="131" spans="1:4" x14ac:dyDescent="0.2">
      <c r="A131" s="16" t="s">
        <v>143</v>
      </c>
      <c r="B131" s="13">
        <v>21.36</v>
      </c>
      <c r="C131" s="13">
        <v>646778</v>
      </c>
      <c r="D131" s="13"/>
    </row>
    <row r="132" spans="1:4" x14ac:dyDescent="0.2">
      <c r="A132" s="16" t="s">
        <v>144</v>
      </c>
      <c r="B132" s="13">
        <v>21.34</v>
      </c>
      <c r="C132" s="13">
        <v>1043989</v>
      </c>
      <c r="D132" s="13"/>
    </row>
    <row r="133" spans="1:4" x14ac:dyDescent="0.2">
      <c r="A133" s="16" t="s">
        <v>145</v>
      </c>
      <c r="B133" s="13">
        <v>21.4</v>
      </c>
      <c r="C133" s="13">
        <v>668471</v>
      </c>
      <c r="D133" s="13"/>
    </row>
    <row r="134" spans="1:4" x14ac:dyDescent="0.2">
      <c r="A134" s="16" t="s">
        <v>146</v>
      </c>
      <c r="B134" s="13">
        <v>21.61</v>
      </c>
      <c r="C134" s="13">
        <v>1385105</v>
      </c>
      <c r="D134" s="13"/>
    </row>
    <row r="135" spans="1:4" x14ac:dyDescent="0.2">
      <c r="A135" s="16" t="s">
        <v>147</v>
      </c>
      <c r="B135" s="13">
        <v>21.95</v>
      </c>
      <c r="C135" s="13">
        <v>1449123</v>
      </c>
      <c r="D135" s="13"/>
    </row>
    <row r="136" spans="1:4" x14ac:dyDescent="0.2">
      <c r="A136" s="16" t="s">
        <v>148</v>
      </c>
      <c r="B136" s="13">
        <v>22.56</v>
      </c>
      <c r="C136" s="13">
        <v>1252361</v>
      </c>
      <c r="D136" s="13"/>
    </row>
    <row r="137" spans="1:4" x14ac:dyDescent="0.2">
      <c r="A137" s="16" t="s">
        <v>149</v>
      </c>
      <c r="B137" s="13">
        <v>22.04</v>
      </c>
      <c r="C137" s="13">
        <v>988346</v>
      </c>
      <c r="D137" s="13"/>
    </row>
    <row r="138" spans="1:4" x14ac:dyDescent="0.2">
      <c r="A138" s="16" t="s">
        <v>150</v>
      </c>
      <c r="B138" s="13">
        <v>22.24</v>
      </c>
      <c r="C138" s="13">
        <v>716227</v>
      </c>
      <c r="D138" s="13"/>
    </row>
    <row r="139" spans="1:4" x14ac:dyDescent="0.2">
      <c r="A139" s="16" t="s">
        <v>151</v>
      </c>
      <c r="B139" s="13">
        <v>22.19</v>
      </c>
      <c r="C139" s="13">
        <v>545665</v>
      </c>
      <c r="D139" s="13"/>
    </row>
    <row r="140" spans="1:4" x14ac:dyDescent="0.2">
      <c r="A140" s="16" t="s">
        <v>152</v>
      </c>
      <c r="B140" s="13">
        <v>22.66</v>
      </c>
      <c r="C140" s="13">
        <v>1327132</v>
      </c>
      <c r="D140" s="13"/>
    </row>
    <row r="141" spans="1:4" x14ac:dyDescent="0.2">
      <c r="A141" s="16" t="s">
        <v>153</v>
      </c>
      <c r="B141" s="13">
        <v>23</v>
      </c>
      <c r="C141" s="13">
        <v>1543790</v>
      </c>
      <c r="D141" s="13"/>
    </row>
    <row r="142" spans="1:4" x14ac:dyDescent="0.2">
      <c r="A142" s="16" t="s">
        <v>154</v>
      </c>
      <c r="B142" s="13">
        <v>23.01</v>
      </c>
      <c r="C142" s="13">
        <v>929437</v>
      </c>
      <c r="D142" s="13"/>
    </row>
    <row r="143" spans="1:4" x14ac:dyDescent="0.2">
      <c r="A143" s="16" t="s">
        <v>155</v>
      </c>
      <c r="B143" s="13">
        <v>21.92</v>
      </c>
      <c r="C143" s="13">
        <v>3785100</v>
      </c>
      <c r="D143" s="13"/>
    </row>
    <row r="144" spans="1:4" x14ac:dyDescent="0.2">
      <c r="A144" s="16" t="s">
        <v>156</v>
      </c>
      <c r="B144" s="13">
        <v>21.3</v>
      </c>
      <c r="C144" s="13">
        <v>1207769</v>
      </c>
      <c r="D144" s="13"/>
    </row>
    <row r="145" spans="1:4" x14ac:dyDescent="0.2">
      <c r="A145" s="16" t="s">
        <v>157</v>
      </c>
      <c r="B145" s="13">
        <v>21.4</v>
      </c>
      <c r="C145" s="13">
        <v>782536</v>
      </c>
      <c r="D145" s="13"/>
    </row>
    <row r="146" spans="1:4" x14ac:dyDescent="0.2">
      <c r="A146" s="16" t="s">
        <v>158</v>
      </c>
      <c r="B146" s="13">
        <v>21.6</v>
      </c>
      <c r="C146" s="13">
        <v>580409</v>
      </c>
      <c r="D146" s="13"/>
    </row>
    <row r="147" spans="1:4" x14ac:dyDescent="0.2">
      <c r="A147" s="16" t="s">
        <v>159</v>
      </c>
      <c r="B147" s="13">
        <v>21.56</v>
      </c>
      <c r="C147" s="13">
        <v>606895</v>
      </c>
      <c r="D147" s="13"/>
    </row>
    <row r="148" spans="1:4" x14ac:dyDescent="0.2">
      <c r="A148" s="16" t="s">
        <v>160</v>
      </c>
      <c r="B148" s="13">
        <v>22.21</v>
      </c>
      <c r="C148" s="13">
        <v>874785</v>
      </c>
      <c r="D148" s="13"/>
    </row>
    <row r="149" spans="1:4" x14ac:dyDescent="0.2">
      <c r="A149" s="16" t="s">
        <v>161</v>
      </c>
      <c r="B149" s="13">
        <v>21.83</v>
      </c>
      <c r="C149" s="13">
        <v>907279</v>
      </c>
      <c r="D149" s="13"/>
    </row>
    <row r="150" spans="1:4" x14ac:dyDescent="0.2">
      <c r="A150" s="16" t="s">
        <v>162</v>
      </c>
      <c r="B150" s="13">
        <v>21.11</v>
      </c>
      <c r="C150" s="13">
        <v>1043072</v>
      </c>
      <c r="D150" s="13"/>
    </row>
    <row r="151" spans="1:4" x14ac:dyDescent="0.2">
      <c r="A151" s="16" t="s">
        <v>163</v>
      </c>
      <c r="B151" s="13">
        <v>20.350000000000001</v>
      </c>
      <c r="C151" s="13">
        <v>1133387</v>
      </c>
      <c r="D151" s="13"/>
    </row>
    <row r="152" spans="1:4" x14ac:dyDescent="0.2">
      <c r="A152" s="16" t="s">
        <v>164</v>
      </c>
      <c r="B152" s="13">
        <v>20.47</v>
      </c>
      <c r="C152" s="13">
        <v>980007</v>
      </c>
      <c r="D152" s="13"/>
    </row>
    <row r="153" spans="1:4" x14ac:dyDescent="0.2">
      <c r="A153" s="16" t="s">
        <v>165</v>
      </c>
      <c r="B153" s="13">
        <v>20.329999999999998</v>
      </c>
      <c r="C153" s="13">
        <v>1338405</v>
      </c>
      <c r="D153" s="13"/>
    </row>
    <row r="154" spans="1:4" x14ac:dyDescent="0.2">
      <c r="A154" s="16" t="s">
        <v>166</v>
      </c>
      <c r="B154" s="13">
        <v>20.350000000000001</v>
      </c>
      <c r="C154" s="13">
        <v>679645</v>
      </c>
      <c r="D154" s="13"/>
    </row>
    <row r="155" spans="1:4" x14ac:dyDescent="0.2">
      <c r="A155" s="16" t="s">
        <v>167</v>
      </c>
      <c r="B155" s="13">
        <v>20.239999999999998</v>
      </c>
      <c r="C155" s="13">
        <v>1931282</v>
      </c>
      <c r="D155" s="13"/>
    </row>
    <row r="156" spans="1:4" x14ac:dyDescent="0.2">
      <c r="A156" s="16" t="s">
        <v>168</v>
      </c>
      <c r="B156" s="13">
        <v>20.54</v>
      </c>
      <c r="C156" s="13">
        <v>990000</v>
      </c>
      <c r="D156" s="13"/>
    </row>
    <row r="157" spans="1:4" x14ac:dyDescent="0.2">
      <c r="A157" s="16" t="s">
        <v>169</v>
      </c>
      <c r="B157" s="13">
        <v>20.239999999999998</v>
      </c>
      <c r="C157" s="13">
        <v>868794</v>
      </c>
      <c r="D157" s="13"/>
    </row>
    <row r="158" spans="1:4" x14ac:dyDescent="0.2">
      <c r="A158" s="16" t="s">
        <v>170</v>
      </c>
      <c r="B158" s="13">
        <v>20.41</v>
      </c>
      <c r="C158" s="13">
        <v>1032344</v>
      </c>
      <c r="D158" s="13"/>
    </row>
    <row r="159" spans="1:4" x14ac:dyDescent="0.2">
      <c r="A159" s="16" t="s">
        <v>171</v>
      </c>
      <c r="B159" s="13">
        <v>20.48</v>
      </c>
      <c r="C159" s="13">
        <v>656109</v>
      </c>
      <c r="D159" s="13"/>
    </row>
    <row r="160" spans="1:4" x14ac:dyDescent="0.2">
      <c r="A160" s="16" t="s">
        <v>172</v>
      </c>
      <c r="B160" s="13">
        <v>20.399999999999999</v>
      </c>
      <c r="C160" s="13">
        <v>1278903</v>
      </c>
      <c r="D160" s="13"/>
    </row>
    <row r="161" spans="1:4" x14ac:dyDescent="0.2">
      <c r="A161" s="16" t="s">
        <v>173</v>
      </c>
      <c r="B161" s="13">
        <v>20.25</v>
      </c>
      <c r="C161" s="13">
        <v>1006672</v>
      </c>
      <c r="D161" s="13"/>
    </row>
    <row r="162" spans="1:4" x14ac:dyDescent="0.2">
      <c r="A162" s="16" t="s">
        <v>174</v>
      </c>
      <c r="B162" s="13">
        <v>20.21</v>
      </c>
      <c r="C162" s="13">
        <v>934745</v>
      </c>
      <c r="D162" s="13"/>
    </row>
    <row r="163" spans="1:4" x14ac:dyDescent="0.2">
      <c r="A163" s="16" t="s">
        <v>175</v>
      </c>
      <c r="B163" s="13">
        <v>20.12</v>
      </c>
      <c r="C163" s="13">
        <v>1320032</v>
      </c>
      <c r="D163" s="13"/>
    </row>
    <row r="164" spans="1:4" x14ac:dyDescent="0.2">
      <c r="A164" s="16" t="s">
        <v>176</v>
      </c>
      <c r="B164" s="13">
        <v>19.600000000000001</v>
      </c>
      <c r="C164" s="13">
        <v>1257775</v>
      </c>
      <c r="D164" s="13"/>
    </row>
    <row r="165" spans="1:4" x14ac:dyDescent="0.2">
      <c r="A165" s="16" t="s">
        <v>177</v>
      </c>
      <c r="B165" s="13">
        <v>19.97</v>
      </c>
      <c r="C165" s="13">
        <v>817175</v>
      </c>
      <c r="D165" s="13"/>
    </row>
    <row r="166" spans="1:4" x14ac:dyDescent="0.2">
      <c r="A166" s="16" t="s">
        <v>178</v>
      </c>
      <c r="B166" s="13">
        <v>19.649999999999999</v>
      </c>
      <c r="C166" s="13">
        <v>1603158</v>
      </c>
      <c r="D166" s="13"/>
    </row>
    <row r="167" spans="1:4" x14ac:dyDescent="0.2">
      <c r="A167" s="16" t="s">
        <v>179</v>
      </c>
      <c r="B167" s="13">
        <v>19.329999999999998</v>
      </c>
      <c r="C167" s="13">
        <v>2061090</v>
      </c>
      <c r="D167" s="13"/>
    </row>
    <row r="168" spans="1:4" x14ac:dyDescent="0.2">
      <c r="A168" s="16" t="s">
        <v>180</v>
      </c>
      <c r="B168" s="13">
        <v>20.05</v>
      </c>
      <c r="C168" s="13">
        <v>2669489</v>
      </c>
      <c r="D168" s="13"/>
    </row>
    <row r="169" spans="1:4" x14ac:dyDescent="0.2">
      <c r="A169" s="16" t="s">
        <v>181</v>
      </c>
      <c r="B169" s="13">
        <v>20.47</v>
      </c>
      <c r="C169" s="13">
        <v>2850937</v>
      </c>
      <c r="D169" s="13"/>
    </row>
    <row r="170" spans="1:4" x14ac:dyDescent="0.2">
      <c r="A170" s="16" t="s">
        <v>182</v>
      </c>
      <c r="B170" s="13">
        <v>20.97</v>
      </c>
      <c r="C170" s="13">
        <v>1766320</v>
      </c>
      <c r="D170" s="13"/>
    </row>
    <row r="171" spans="1:4" x14ac:dyDescent="0.2">
      <c r="A171" s="16" t="s">
        <v>183</v>
      </c>
      <c r="B171" s="13">
        <v>21.52</v>
      </c>
      <c r="C171" s="13">
        <v>1176965</v>
      </c>
      <c r="D171" s="13"/>
    </row>
    <row r="172" spans="1:4" x14ac:dyDescent="0.2">
      <c r="A172" s="16" t="s">
        <v>184</v>
      </c>
      <c r="B172" s="13">
        <v>21.59</v>
      </c>
      <c r="C172" s="13">
        <v>864543</v>
      </c>
      <c r="D172" s="13"/>
    </row>
    <row r="173" spans="1:4" x14ac:dyDescent="0.2">
      <c r="A173" s="16" t="s">
        <v>185</v>
      </c>
      <c r="B173" s="13">
        <v>21.19</v>
      </c>
      <c r="C173" s="13">
        <v>1401794</v>
      </c>
      <c r="D173" s="13"/>
    </row>
    <row r="174" spans="1:4" x14ac:dyDescent="0.2">
      <c r="A174" s="16" t="s">
        <v>186</v>
      </c>
      <c r="B174" s="13">
        <v>21.05</v>
      </c>
      <c r="C174" s="13">
        <v>1151609</v>
      </c>
      <c r="D174" s="13"/>
    </row>
    <row r="175" spans="1:4" x14ac:dyDescent="0.2">
      <c r="A175" s="16" t="s">
        <v>187</v>
      </c>
      <c r="B175" s="13">
        <v>20.81</v>
      </c>
      <c r="C175" s="13">
        <v>953685</v>
      </c>
      <c r="D175" s="13"/>
    </row>
    <row r="176" spans="1:4" x14ac:dyDescent="0.2">
      <c r="A176" s="16" t="s">
        <v>188</v>
      </c>
      <c r="B176" s="13">
        <v>20.7</v>
      </c>
      <c r="C176" s="13">
        <v>1151573</v>
      </c>
      <c r="D176" s="13"/>
    </row>
    <row r="177" spans="1:4" x14ac:dyDescent="0.2">
      <c r="A177" s="16" t="s">
        <v>189</v>
      </c>
      <c r="B177" s="13">
        <v>20.66</v>
      </c>
      <c r="C177" s="13">
        <v>1196014</v>
      </c>
      <c r="D177" s="13"/>
    </row>
    <row r="178" spans="1:4" x14ac:dyDescent="0.2">
      <c r="A178" s="16" t="s">
        <v>190</v>
      </c>
      <c r="B178" s="13">
        <v>20.89</v>
      </c>
      <c r="C178" s="13">
        <v>1564752</v>
      </c>
      <c r="D178" s="13"/>
    </row>
    <row r="179" spans="1:4" x14ac:dyDescent="0.2">
      <c r="A179" s="16" t="s">
        <v>191</v>
      </c>
      <c r="B179" s="13">
        <v>20.53</v>
      </c>
      <c r="C179" s="13">
        <v>982453</v>
      </c>
      <c r="D179" s="13"/>
    </row>
    <row r="180" spans="1:4" x14ac:dyDescent="0.2">
      <c r="A180" s="16" t="s">
        <v>192</v>
      </c>
      <c r="B180" s="13">
        <v>20.66</v>
      </c>
      <c r="C180" s="13">
        <v>1238070</v>
      </c>
      <c r="D180" s="13"/>
    </row>
    <row r="181" spans="1:4" x14ac:dyDescent="0.2">
      <c r="A181" s="16" t="s">
        <v>193</v>
      </c>
      <c r="B181" s="13">
        <v>20.7</v>
      </c>
      <c r="C181" s="13">
        <v>1188776</v>
      </c>
      <c r="D181" s="13"/>
    </row>
    <row r="182" spans="1:4" x14ac:dyDescent="0.2">
      <c r="A182" s="16" t="s">
        <v>194</v>
      </c>
      <c r="B182" s="13">
        <v>20.85</v>
      </c>
      <c r="C182" s="13">
        <v>1169494</v>
      </c>
      <c r="D182" s="13"/>
    </row>
    <row r="183" spans="1:4" x14ac:dyDescent="0.2">
      <c r="A183" s="16" t="s">
        <v>195</v>
      </c>
      <c r="B183" s="13">
        <v>20.76</v>
      </c>
      <c r="C183" s="13">
        <v>1223425</v>
      </c>
      <c r="D183" s="13"/>
    </row>
    <row r="184" spans="1:4" x14ac:dyDescent="0.2">
      <c r="A184" s="16" t="s">
        <v>196</v>
      </c>
      <c r="B184" s="13">
        <v>21.43</v>
      </c>
      <c r="C184" s="13">
        <v>1263070</v>
      </c>
      <c r="D184" s="13"/>
    </row>
    <row r="185" spans="1:4" x14ac:dyDescent="0.2">
      <c r="A185" s="16" t="s">
        <v>197</v>
      </c>
      <c r="B185" s="13">
        <v>21.91</v>
      </c>
      <c r="C185" s="13">
        <v>2705266</v>
      </c>
      <c r="D185" s="13"/>
    </row>
    <row r="186" spans="1:4" x14ac:dyDescent="0.2">
      <c r="A186" s="16" t="s">
        <v>198</v>
      </c>
      <c r="B186" s="13">
        <v>21.48</v>
      </c>
      <c r="C186" s="13">
        <v>620524</v>
      </c>
      <c r="D186" s="13"/>
    </row>
    <row r="187" spans="1:4" x14ac:dyDescent="0.2">
      <c r="A187" s="16" t="s">
        <v>199</v>
      </c>
      <c r="B187" s="13">
        <v>21.87</v>
      </c>
      <c r="C187" s="13">
        <v>1118918</v>
      </c>
      <c r="D187" s="13"/>
    </row>
    <row r="188" spans="1:4" x14ac:dyDescent="0.2">
      <c r="A188" s="16" t="s">
        <v>200</v>
      </c>
      <c r="B188" s="13">
        <v>21.95</v>
      </c>
      <c r="C188" s="13">
        <v>1204085</v>
      </c>
      <c r="D188" s="13"/>
    </row>
    <row r="189" spans="1:4" x14ac:dyDescent="0.2">
      <c r="A189" s="16" t="s">
        <v>201</v>
      </c>
      <c r="B189" s="13">
        <v>22.54</v>
      </c>
      <c r="C189" s="13">
        <v>1036660</v>
      </c>
      <c r="D189" s="13"/>
    </row>
    <row r="190" spans="1:4" x14ac:dyDescent="0.2">
      <c r="A190" s="16" t="s">
        <v>202</v>
      </c>
      <c r="B190" s="13">
        <v>22.45</v>
      </c>
      <c r="C190" s="13">
        <v>753733</v>
      </c>
      <c r="D190" s="13"/>
    </row>
    <row r="191" spans="1:4" x14ac:dyDescent="0.2">
      <c r="A191" s="16" t="s">
        <v>203</v>
      </c>
      <c r="B191" s="13">
        <v>22.35</v>
      </c>
      <c r="C191" s="13">
        <v>935053</v>
      </c>
      <c r="D191" s="13"/>
    </row>
    <row r="192" spans="1:4" x14ac:dyDescent="0.2">
      <c r="A192" s="16" t="s">
        <v>204</v>
      </c>
      <c r="B192" s="13">
        <v>22.21</v>
      </c>
      <c r="C192" s="13">
        <v>739318</v>
      </c>
      <c r="D192" s="13"/>
    </row>
    <row r="193" spans="1:4" x14ac:dyDescent="0.2">
      <c r="A193" s="16" t="s">
        <v>205</v>
      </c>
      <c r="B193" s="13">
        <v>21.68</v>
      </c>
      <c r="C193" s="13">
        <v>754242</v>
      </c>
      <c r="D193" s="13"/>
    </row>
    <row r="194" spans="1:4" x14ac:dyDescent="0.2">
      <c r="A194" s="16" t="s">
        <v>206</v>
      </c>
      <c r="B194" s="13">
        <v>21.61</v>
      </c>
      <c r="C194" s="13">
        <v>713563</v>
      </c>
      <c r="D194" s="13"/>
    </row>
    <row r="195" spans="1:4" x14ac:dyDescent="0.2">
      <c r="A195" s="16" t="s">
        <v>207</v>
      </c>
      <c r="B195" s="13">
        <v>21.24</v>
      </c>
      <c r="C195" s="13">
        <v>638458</v>
      </c>
      <c r="D195" s="13"/>
    </row>
    <row r="196" spans="1:4" x14ac:dyDescent="0.2">
      <c r="A196" s="16" t="s">
        <v>208</v>
      </c>
      <c r="B196" s="13">
        <v>21.67</v>
      </c>
      <c r="C196" s="13">
        <v>549893</v>
      </c>
      <c r="D196" s="13"/>
    </row>
    <row r="197" spans="1:4" x14ac:dyDescent="0.2">
      <c r="A197" s="16" t="s">
        <v>209</v>
      </c>
      <c r="B197" s="13">
        <v>21.62</v>
      </c>
      <c r="C197" s="13">
        <v>546182</v>
      </c>
      <c r="D197" s="13"/>
    </row>
    <row r="198" spans="1:4" x14ac:dyDescent="0.2">
      <c r="A198" s="16" t="s">
        <v>210</v>
      </c>
      <c r="B198" s="13">
        <v>21.92</v>
      </c>
      <c r="C198" s="13">
        <v>569087</v>
      </c>
      <c r="D198" s="13"/>
    </row>
    <row r="199" spans="1:4" x14ac:dyDescent="0.2">
      <c r="A199" s="16" t="s">
        <v>211</v>
      </c>
      <c r="B199" s="13">
        <v>21.85</v>
      </c>
      <c r="C199" s="13">
        <v>581021</v>
      </c>
      <c r="D199" s="13"/>
    </row>
    <row r="200" spans="1:4" x14ac:dyDescent="0.2">
      <c r="A200" s="16" t="s">
        <v>212</v>
      </c>
      <c r="B200" s="13">
        <v>21.89</v>
      </c>
      <c r="C200" s="13">
        <v>450146</v>
      </c>
      <c r="D200" s="13"/>
    </row>
    <row r="201" spans="1:4" x14ac:dyDescent="0.2">
      <c r="A201" s="16" t="s">
        <v>213</v>
      </c>
      <c r="B201" s="13">
        <v>21.51</v>
      </c>
      <c r="C201" s="13">
        <v>909288</v>
      </c>
      <c r="D201" s="13"/>
    </row>
    <row r="202" spans="1:4" x14ac:dyDescent="0.2">
      <c r="A202" s="16" t="s">
        <v>214</v>
      </c>
      <c r="B202" s="13">
        <v>21.52</v>
      </c>
      <c r="C202" s="13">
        <v>1401502</v>
      </c>
      <c r="D202" s="13"/>
    </row>
    <row r="203" spans="1:4" x14ac:dyDescent="0.2">
      <c r="A203" s="16" t="s">
        <v>215</v>
      </c>
      <c r="B203" s="13">
        <v>21.33</v>
      </c>
      <c r="C203" s="13">
        <v>637512</v>
      </c>
      <c r="D203" s="13"/>
    </row>
    <row r="204" spans="1:4" x14ac:dyDescent="0.2">
      <c r="A204" s="16" t="s">
        <v>216</v>
      </c>
      <c r="B204" s="13">
        <v>21.62</v>
      </c>
      <c r="C204" s="13">
        <v>719489</v>
      </c>
      <c r="D204" s="13"/>
    </row>
    <row r="205" spans="1:4" x14ac:dyDescent="0.2">
      <c r="A205" s="16" t="s">
        <v>217</v>
      </c>
      <c r="B205" s="13">
        <v>17.2</v>
      </c>
      <c r="C205" s="13">
        <v>8260856</v>
      </c>
      <c r="D205" s="13"/>
    </row>
    <row r="206" spans="1:4" x14ac:dyDescent="0.2">
      <c r="A206" s="16" t="s">
        <v>218</v>
      </c>
      <c r="B206" s="13">
        <v>17.309999999999999</v>
      </c>
      <c r="C206" s="13">
        <v>4801744</v>
      </c>
      <c r="D206" s="13"/>
    </row>
    <row r="207" spans="1:4" x14ac:dyDescent="0.2">
      <c r="A207" s="16" t="s">
        <v>219</v>
      </c>
      <c r="B207" s="13">
        <v>16.87</v>
      </c>
      <c r="C207" s="13">
        <v>3065599</v>
      </c>
      <c r="D207" s="13"/>
    </row>
    <row r="208" spans="1:4" x14ac:dyDescent="0.2">
      <c r="A208" s="16" t="s">
        <v>220</v>
      </c>
      <c r="B208" s="13">
        <v>16.37</v>
      </c>
      <c r="C208" s="13">
        <v>2924513</v>
      </c>
      <c r="D208" s="13"/>
    </row>
    <row r="209" spans="1:4" x14ac:dyDescent="0.2">
      <c r="A209" s="16" t="s">
        <v>221</v>
      </c>
      <c r="B209" s="13">
        <v>15.86</v>
      </c>
      <c r="C209" s="13">
        <v>3222367</v>
      </c>
      <c r="D209" s="13"/>
    </row>
    <row r="210" spans="1:4" x14ac:dyDescent="0.2">
      <c r="A210" s="16" t="s">
        <v>222</v>
      </c>
      <c r="B210" s="13">
        <v>15.89</v>
      </c>
      <c r="C210" s="13">
        <v>3158703</v>
      </c>
      <c r="D210" s="13"/>
    </row>
    <row r="211" spans="1:4" x14ac:dyDescent="0.2">
      <c r="A211" s="16" t="s">
        <v>223</v>
      </c>
      <c r="B211" s="13">
        <v>15.68</v>
      </c>
      <c r="C211" s="13">
        <v>2553116</v>
      </c>
      <c r="D211" s="13"/>
    </row>
    <row r="212" spans="1:4" x14ac:dyDescent="0.2">
      <c r="A212" s="16" t="s">
        <v>224</v>
      </c>
      <c r="B212" s="13">
        <v>15.67</v>
      </c>
      <c r="C212" s="13">
        <v>2815069</v>
      </c>
      <c r="D212" s="13"/>
    </row>
    <row r="213" spans="1:4" x14ac:dyDescent="0.2">
      <c r="A213" s="16" t="s">
        <v>225</v>
      </c>
      <c r="B213" s="13">
        <v>15.9</v>
      </c>
      <c r="C213" s="13">
        <v>1725141</v>
      </c>
      <c r="D213" s="13"/>
    </row>
    <row r="214" spans="1:4" x14ac:dyDescent="0.2">
      <c r="A214" s="16" t="s">
        <v>226</v>
      </c>
      <c r="B214" s="13">
        <v>15.98</v>
      </c>
      <c r="C214" s="13">
        <v>1862195</v>
      </c>
      <c r="D214" s="13"/>
    </row>
    <row r="215" spans="1:4" x14ac:dyDescent="0.2">
      <c r="A215" s="16" t="s">
        <v>227</v>
      </c>
      <c r="B215" s="13">
        <v>15.73</v>
      </c>
      <c r="C215" s="13">
        <v>1596340</v>
      </c>
      <c r="D215" s="13"/>
    </row>
    <row r="216" spans="1:4" x14ac:dyDescent="0.2">
      <c r="A216" s="16" t="s">
        <v>228</v>
      </c>
      <c r="B216" s="13">
        <v>15.53</v>
      </c>
      <c r="C216" s="13">
        <v>2084397</v>
      </c>
      <c r="D216" s="13"/>
    </row>
    <row r="217" spans="1:4" x14ac:dyDescent="0.2">
      <c r="A217" s="16" t="s">
        <v>229</v>
      </c>
      <c r="B217" s="13">
        <v>15.65</v>
      </c>
      <c r="C217" s="13">
        <v>930275</v>
      </c>
      <c r="D217" s="13"/>
    </row>
    <row r="218" spans="1:4" x14ac:dyDescent="0.2">
      <c r="A218" s="16" t="s">
        <v>230</v>
      </c>
      <c r="B218" s="13">
        <v>15.8</v>
      </c>
      <c r="C218" s="13">
        <v>1086735</v>
      </c>
      <c r="D218" s="13"/>
    </row>
    <row r="219" spans="1:4" x14ac:dyDescent="0.2">
      <c r="A219" s="16" t="s">
        <v>231</v>
      </c>
      <c r="B219" s="13">
        <v>16.12</v>
      </c>
      <c r="C219" s="13">
        <v>1239107</v>
      </c>
      <c r="D219" s="13"/>
    </row>
    <row r="220" spans="1:4" x14ac:dyDescent="0.2">
      <c r="A220" s="16" t="s">
        <v>232</v>
      </c>
      <c r="B220" s="13">
        <v>16.25</v>
      </c>
      <c r="C220" s="13">
        <v>993640</v>
      </c>
      <c r="D220" s="13"/>
    </row>
    <row r="221" spans="1:4" x14ac:dyDescent="0.2">
      <c r="A221" s="16" t="s">
        <v>233</v>
      </c>
      <c r="B221" s="13">
        <v>16.3</v>
      </c>
      <c r="C221" s="13">
        <v>1232821</v>
      </c>
      <c r="D221" s="13"/>
    </row>
    <row r="222" spans="1:4" x14ac:dyDescent="0.2">
      <c r="A222" s="16" t="s">
        <v>234</v>
      </c>
      <c r="B222" s="13">
        <v>16.43</v>
      </c>
      <c r="C222" s="13">
        <v>1169596</v>
      </c>
      <c r="D222" s="13"/>
    </row>
    <row r="223" spans="1:4" x14ac:dyDescent="0.2">
      <c r="A223" s="16" t="s">
        <v>235</v>
      </c>
      <c r="B223" s="13">
        <v>16.63</v>
      </c>
      <c r="C223" s="13">
        <v>867695</v>
      </c>
      <c r="D223" s="13"/>
    </row>
    <row r="224" spans="1:4" x14ac:dyDescent="0.2">
      <c r="A224" s="16" t="s">
        <v>236</v>
      </c>
      <c r="B224" s="13">
        <v>17.39</v>
      </c>
      <c r="C224" s="13">
        <v>2716647</v>
      </c>
      <c r="D224" s="13"/>
    </row>
    <row r="225" spans="1:4" x14ac:dyDescent="0.2">
      <c r="A225" s="16" t="s">
        <v>237</v>
      </c>
      <c r="B225" s="13">
        <v>17.329999999999998</v>
      </c>
      <c r="C225" s="13">
        <v>1924305</v>
      </c>
      <c r="D225" s="13"/>
    </row>
    <row r="226" spans="1:4" x14ac:dyDescent="0.2">
      <c r="A226" s="16" t="s">
        <v>238</v>
      </c>
      <c r="B226" s="13">
        <v>17.16</v>
      </c>
      <c r="C226" s="13">
        <v>1039124</v>
      </c>
      <c r="D226" s="13"/>
    </row>
    <row r="227" spans="1:4" x14ac:dyDescent="0.2">
      <c r="A227" s="16" t="s">
        <v>239</v>
      </c>
      <c r="B227" s="13">
        <v>17.48</v>
      </c>
      <c r="C227" s="13">
        <v>1148770</v>
      </c>
      <c r="D227" s="13"/>
    </row>
    <row r="228" spans="1:4" x14ac:dyDescent="0.2">
      <c r="A228" s="16" t="s">
        <v>240</v>
      </c>
      <c r="B228" s="13">
        <v>17.21</v>
      </c>
      <c r="C228" s="13">
        <v>928556</v>
      </c>
      <c r="D228" s="13"/>
    </row>
    <row r="229" spans="1:4" x14ac:dyDescent="0.2">
      <c r="A229" s="16" t="s">
        <v>241</v>
      </c>
      <c r="B229" s="13">
        <v>16.98</v>
      </c>
      <c r="C229" s="13">
        <v>1998878</v>
      </c>
      <c r="D229" s="13"/>
    </row>
    <row r="230" spans="1:4" x14ac:dyDescent="0.2">
      <c r="A230" s="16" t="s">
        <v>242</v>
      </c>
      <c r="B230" s="13">
        <v>17</v>
      </c>
      <c r="C230" s="13">
        <v>1024842</v>
      </c>
      <c r="D230" s="13"/>
    </row>
    <row r="231" spans="1:4" x14ac:dyDescent="0.2">
      <c r="A231" s="16" t="s">
        <v>243</v>
      </c>
      <c r="B231" s="13">
        <v>16.93</v>
      </c>
      <c r="C231" s="13">
        <v>1043704</v>
      </c>
      <c r="D231" s="13"/>
    </row>
    <row r="232" spans="1:4" x14ac:dyDescent="0.2">
      <c r="A232" s="16" t="s">
        <v>244</v>
      </c>
      <c r="B232" s="13">
        <v>16.7</v>
      </c>
      <c r="C232" s="13">
        <v>792535</v>
      </c>
      <c r="D232" s="13"/>
    </row>
    <row r="233" spans="1:4" x14ac:dyDescent="0.2">
      <c r="A233" s="16" t="s">
        <v>245</v>
      </c>
      <c r="B233" s="13">
        <v>17.13</v>
      </c>
      <c r="C233" s="13">
        <v>2155073</v>
      </c>
      <c r="D233" s="13"/>
    </row>
    <row r="234" spans="1:4" x14ac:dyDescent="0.2">
      <c r="A234" s="16" t="s">
        <v>246</v>
      </c>
      <c r="B234" s="13">
        <v>17.39</v>
      </c>
      <c r="C234" s="13">
        <v>1298291</v>
      </c>
      <c r="D234" s="13"/>
    </row>
    <row r="235" spans="1:4" x14ac:dyDescent="0.2">
      <c r="A235" s="16" t="s">
        <v>247</v>
      </c>
      <c r="B235" s="13">
        <v>17.510000000000002</v>
      </c>
      <c r="C235" s="13">
        <v>718710</v>
      </c>
      <c r="D235" s="13"/>
    </row>
    <row r="236" spans="1:4" x14ac:dyDescent="0.2">
      <c r="A236" s="16" t="s">
        <v>248</v>
      </c>
      <c r="B236" s="13">
        <v>17.329999999999998</v>
      </c>
      <c r="C236" s="13">
        <v>717340</v>
      </c>
      <c r="D236" s="13"/>
    </row>
    <row r="237" spans="1:4" x14ac:dyDescent="0.2">
      <c r="A237" s="16" t="s">
        <v>249</v>
      </c>
      <c r="B237" s="13">
        <v>17.059999999999999</v>
      </c>
      <c r="C237" s="13">
        <v>1377832</v>
      </c>
      <c r="D237" s="13"/>
    </row>
    <row r="238" spans="1:4" x14ac:dyDescent="0.2">
      <c r="A238" s="16" t="s">
        <v>250</v>
      </c>
      <c r="B238" s="13">
        <v>17</v>
      </c>
      <c r="C238" s="13">
        <v>717204</v>
      </c>
      <c r="D238" s="13"/>
    </row>
    <row r="239" spans="1:4" x14ac:dyDescent="0.2">
      <c r="A239" s="16" t="s">
        <v>251</v>
      </c>
      <c r="B239" s="13">
        <v>16.87</v>
      </c>
      <c r="C239" s="13">
        <v>921810</v>
      </c>
      <c r="D239" s="13"/>
    </row>
    <row r="240" spans="1:4" x14ac:dyDescent="0.2">
      <c r="A240" s="16" t="s">
        <v>252</v>
      </c>
      <c r="B240" s="13">
        <v>16.920000000000002</v>
      </c>
      <c r="C240" s="13">
        <v>914255</v>
      </c>
      <c r="D240" s="13"/>
    </row>
    <row r="241" spans="1:4" x14ac:dyDescent="0.2">
      <c r="A241" s="16" t="s">
        <v>253</v>
      </c>
      <c r="B241" s="13">
        <v>16.690000000000001</v>
      </c>
      <c r="C241" s="13">
        <v>953448</v>
      </c>
      <c r="D241" s="13"/>
    </row>
    <row r="242" spans="1:4" x14ac:dyDescent="0.2">
      <c r="A242" s="16" t="s">
        <v>254</v>
      </c>
      <c r="B242" s="13">
        <v>16.399999999999999</v>
      </c>
      <c r="C242" s="13">
        <v>1264180</v>
      </c>
      <c r="D242" s="13"/>
    </row>
    <row r="243" spans="1:4" x14ac:dyDescent="0.2">
      <c r="A243" s="16" t="s">
        <v>255</v>
      </c>
      <c r="B243" s="13">
        <v>16.23</v>
      </c>
      <c r="C243" s="13">
        <v>1314626</v>
      </c>
      <c r="D243" s="13"/>
    </row>
    <row r="244" spans="1:4" x14ac:dyDescent="0.2">
      <c r="A244" s="16" t="s">
        <v>256</v>
      </c>
      <c r="B244" s="13">
        <v>16.149999999999999</v>
      </c>
      <c r="C244" s="13">
        <v>1116921</v>
      </c>
      <c r="D244" s="13"/>
    </row>
    <row r="245" spans="1:4" x14ac:dyDescent="0.2">
      <c r="A245" s="16" t="s">
        <v>257</v>
      </c>
      <c r="B245" s="13">
        <v>16.36</v>
      </c>
      <c r="C245" s="13">
        <v>1197932</v>
      </c>
      <c r="D245" s="13"/>
    </row>
    <row r="246" spans="1:4" x14ac:dyDescent="0.2">
      <c r="A246" s="16" t="s">
        <v>258</v>
      </c>
      <c r="B246" s="13">
        <v>16.47</v>
      </c>
      <c r="C246" s="13">
        <v>958672</v>
      </c>
      <c r="D246" s="13"/>
    </row>
    <row r="247" spans="1:4" x14ac:dyDescent="0.2">
      <c r="A247" s="16" t="s">
        <v>259</v>
      </c>
      <c r="B247" s="13">
        <v>16.649999999999999</v>
      </c>
      <c r="C247" s="13">
        <v>853384</v>
      </c>
      <c r="D247" s="13"/>
    </row>
    <row r="248" spans="1:4" x14ac:dyDescent="0.2">
      <c r="A248" s="16" t="s">
        <v>260</v>
      </c>
      <c r="B248" s="13">
        <v>16.52</v>
      </c>
      <c r="C248" s="13">
        <v>830608</v>
      </c>
      <c r="D248" s="13"/>
    </row>
    <row r="249" spans="1:4" x14ac:dyDescent="0.2">
      <c r="A249" s="16" t="s">
        <v>261</v>
      </c>
      <c r="B249" s="13">
        <v>16.3</v>
      </c>
      <c r="C249" s="13">
        <v>1045702</v>
      </c>
      <c r="D249" s="13"/>
    </row>
    <row r="250" spans="1:4" x14ac:dyDescent="0.2">
      <c r="A250" s="16" t="s">
        <v>262</v>
      </c>
      <c r="B250" s="13">
        <v>16.239999999999998</v>
      </c>
      <c r="C250" s="13">
        <v>1278342</v>
      </c>
      <c r="D250" s="13"/>
    </row>
    <row r="251" spans="1:4" x14ac:dyDescent="0.2">
      <c r="A251" s="16" t="s">
        <v>263</v>
      </c>
      <c r="B251" s="13">
        <v>16.489999999999998</v>
      </c>
      <c r="C251" s="13">
        <v>415627</v>
      </c>
      <c r="D251" s="13"/>
    </row>
    <row r="252" spans="1:4" x14ac:dyDescent="0.2">
      <c r="A252" s="16" t="s">
        <v>264</v>
      </c>
      <c r="B252" s="13">
        <v>16.45</v>
      </c>
      <c r="C252" s="13">
        <v>205832</v>
      </c>
      <c r="D252" s="13"/>
    </row>
    <row r="253" spans="1:4" x14ac:dyDescent="0.2">
      <c r="A253" s="16" t="s">
        <v>265</v>
      </c>
      <c r="B253" s="13">
        <v>16.72</v>
      </c>
      <c r="C253" s="13">
        <v>425299</v>
      </c>
      <c r="D253" s="13"/>
    </row>
    <row r="254" spans="1:4" x14ac:dyDescent="0.2">
      <c r="A254" s="16" t="s">
        <v>266</v>
      </c>
      <c r="B254" s="13">
        <v>16.71</v>
      </c>
      <c r="C254" s="13">
        <v>192556</v>
      </c>
      <c r="D254" s="13"/>
    </row>
    <row r="255" spans="1:4" x14ac:dyDescent="0.2">
      <c r="A255" s="16" t="s">
        <v>267</v>
      </c>
      <c r="B255" s="13">
        <v>16.68</v>
      </c>
      <c r="C255" s="13">
        <v>255236</v>
      </c>
      <c r="D255" s="13"/>
    </row>
  </sheetData>
  <sortState xmlns:xlrd2="http://schemas.microsoft.com/office/spreadsheetml/2017/richdata2" ref="A2:E255">
    <sortCondition ref="A2:A255"/>
  </sortState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C4E6-0E39-B84F-8013-4D870A25F13F}">
  <dimension ref="A1:G255"/>
  <sheetViews>
    <sheetView topLeftCell="L1" zoomScaleNormal="100" workbookViewId="0">
      <selection activeCell="Z8" sqref="Z8"/>
    </sheetView>
  </sheetViews>
  <sheetFormatPr baseColWidth="10" defaultColWidth="11.5" defaultRowHeight="18" x14ac:dyDescent="0.2"/>
  <cols>
    <col min="1" max="1" width="16.5" style="16" customWidth="1"/>
    <col min="2" max="5" width="16.5" style="17" customWidth="1"/>
  </cols>
  <sheetData>
    <row r="1" spans="1:7" ht="19" x14ac:dyDescent="0.25">
      <c r="A1" s="15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G1" s="4"/>
    </row>
    <row r="2" spans="1:7" x14ac:dyDescent="0.2">
      <c r="A2" s="16" t="s">
        <v>14</v>
      </c>
      <c r="B2" s="13">
        <v>20.32</v>
      </c>
      <c r="C2" s="13">
        <v>20.56</v>
      </c>
      <c r="D2" s="13">
        <v>20.22</v>
      </c>
      <c r="E2" s="13">
        <v>20.45</v>
      </c>
    </row>
    <row r="3" spans="1:7" x14ac:dyDescent="0.2">
      <c r="A3" s="16" t="s">
        <v>15</v>
      </c>
      <c r="B3" s="13">
        <v>20.190000000000001</v>
      </c>
      <c r="C3" s="13">
        <v>20.36</v>
      </c>
      <c r="D3" s="13">
        <v>20.16</v>
      </c>
      <c r="E3" s="13">
        <v>20.32</v>
      </c>
    </row>
    <row r="4" spans="1:7" x14ac:dyDescent="0.2">
      <c r="A4" s="16" t="s">
        <v>16</v>
      </c>
      <c r="B4" s="13">
        <v>20.21</v>
      </c>
      <c r="C4" s="13">
        <v>20.260000000000002</v>
      </c>
      <c r="D4" s="13">
        <v>19.88</v>
      </c>
      <c r="E4" s="13">
        <v>20.02</v>
      </c>
    </row>
    <row r="5" spans="1:7" x14ac:dyDescent="0.2">
      <c r="A5" s="16" t="s">
        <v>17</v>
      </c>
      <c r="B5" s="13">
        <v>20.05</v>
      </c>
      <c r="C5" s="13">
        <v>20.09</v>
      </c>
      <c r="D5" s="13">
        <v>19.920000000000002</v>
      </c>
      <c r="E5" s="13">
        <v>19.98</v>
      </c>
    </row>
    <row r="6" spans="1:7" x14ac:dyDescent="0.2">
      <c r="A6" s="16" t="s">
        <v>18</v>
      </c>
      <c r="B6" s="13">
        <v>19.989999999999998</v>
      </c>
      <c r="C6" s="13">
        <v>20.079999999999998</v>
      </c>
      <c r="D6" s="13">
        <v>19.71</v>
      </c>
      <c r="E6" s="13">
        <v>19.86</v>
      </c>
    </row>
    <row r="7" spans="1:7" x14ac:dyDescent="0.2">
      <c r="A7" s="16" t="s">
        <v>19</v>
      </c>
      <c r="B7" s="13">
        <v>20.079999999999998</v>
      </c>
      <c r="C7" s="13">
        <v>20.39</v>
      </c>
      <c r="D7" s="13">
        <v>19.989999999999998</v>
      </c>
      <c r="E7" s="13">
        <v>20.39</v>
      </c>
    </row>
    <row r="8" spans="1:7" x14ac:dyDescent="0.2">
      <c r="A8" s="16" t="s">
        <v>20</v>
      </c>
      <c r="B8" s="13">
        <v>20.28</v>
      </c>
      <c r="C8" s="13">
        <v>20.7</v>
      </c>
      <c r="D8" s="13">
        <v>20</v>
      </c>
      <c r="E8" s="13">
        <v>20.56</v>
      </c>
    </row>
    <row r="9" spans="1:7" x14ac:dyDescent="0.2">
      <c r="A9" s="16" t="s">
        <v>21</v>
      </c>
      <c r="B9" s="13">
        <v>20.66</v>
      </c>
      <c r="C9" s="13">
        <v>20.73</v>
      </c>
      <c r="D9" s="13">
        <v>20.56</v>
      </c>
      <c r="E9" s="13">
        <v>20.7</v>
      </c>
    </row>
    <row r="10" spans="1:7" x14ac:dyDescent="0.2">
      <c r="A10" s="16" t="s">
        <v>22</v>
      </c>
      <c r="B10" s="13">
        <v>20.54</v>
      </c>
      <c r="C10" s="13">
        <v>20.59</v>
      </c>
      <c r="D10" s="13">
        <v>20.350000000000001</v>
      </c>
      <c r="E10" s="13">
        <v>20.43</v>
      </c>
    </row>
    <row r="11" spans="1:7" x14ac:dyDescent="0.2">
      <c r="A11" s="16" t="s">
        <v>23</v>
      </c>
      <c r="B11" s="13">
        <v>20.309999999999999</v>
      </c>
      <c r="C11" s="13">
        <v>20.66</v>
      </c>
      <c r="D11" s="13">
        <v>20.29</v>
      </c>
      <c r="E11" s="13">
        <v>20.55</v>
      </c>
    </row>
    <row r="12" spans="1:7" x14ac:dyDescent="0.2">
      <c r="A12" s="16" t="s">
        <v>24</v>
      </c>
      <c r="B12" s="13">
        <v>20.59</v>
      </c>
      <c r="C12" s="13">
        <v>20.65</v>
      </c>
      <c r="D12" s="13">
        <v>20.420000000000002</v>
      </c>
      <c r="E12" s="13">
        <v>20.55</v>
      </c>
    </row>
    <row r="13" spans="1:7" x14ac:dyDescent="0.2">
      <c r="A13" s="16" t="s">
        <v>25</v>
      </c>
      <c r="B13" s="13">
        <v>20.55</v>
      </c>
      <c r="C13" s="13">
        <v>20.58</v>
      </c>
      <c r="D13" s="13">
        <v>20.37</v>
      </c>
      <c r="E13" s="13">
        <v>20.5</v>
      </c>
    </row>
    <row r="14" spans="1:7" x14ac:dyDescent="0.2">
      <c r="A14" s="16" t="s">
        <v>26</v>
      </c>
      <c r="B14" s="13">
        <v>20.46</v>
      </c>
      <c r="C14" s="13">
        <v>20.64</v>
      </c>
      <c r="D14" s="13">
        <v>20.41</v>
      </c>
      <c r="E14" s="13">
        <v>20.63</v>
      </c>
    </row>
    <row r="15" spans="1:7" x14ac:dyDescent="0.2">
      <c r="A15" s="16" t="s">
        <v>27</v>
      </c>
      <c r="B15" s="13">
        <v>20.9</v>
      </c>
      <c r="C15" s="13">
        <v>21.06</v>
      </c>
      <c r="D15" s="13">
        <v>20.75</v>
      </c>
      <c r="E15" s="13">
        <v>21.03</v>
      </c>
    </row>
    <row r="16" spans="1:7" x14ac:dyDescent="0.2">
      <c r="A16" s="16" t="s">
        <v>28</v>
      </c>
      <c r="B16" s="13">
        <v>21.07</v>
      </c>
      <c r="C16" s="13">
        <v>21.21</v>
      </c>
      <c r="D16" s="13">
        <v>20.89</v>
      </c>
      <c r="E16" s="13">
        <v>21.15</v>
      </c>
    </row>
    <row r="17" spans="1:5" x14ac:dyDescent="0.2">
      <c r="A17" s="16" t="s">
        <v>29</v>
      </c>
      <c r="B17" s="13">
        <v>21.14</v>
      </c>
      <c r="C17" s="13">
        <v>21.14</v>
      </c>
      <c r="D17" s="13">
        <v>20.88</v>
      </c>
      <c r="E17" s="13">
        <v>21.08</v>
      </c>
    </row>
    <row r="18" spans="1:5" x14ac:dyDescent="0.2">
      <c r="A18" s="16" t="s">
        <v>30</v>
      </c>
      <c r="B18" s="13">
        <v>21.05</v>
      </c>
      <c r="C18" s="13">
        <v>21.05</v>
      </c>
      <c r="D18" s="13">
        <v>20.81</v>
      </c>
      <c r="E18" s="13">
        <v>21.04</v>
      </c>
    </row>
    <row r="19" spans="1:5" x14ac:dyDescent="0.2">
      <c r="A19" s="16" t="s">
        <v>31</v>
      </c>
      <c r="B19" s="13">
        <v>21.11</v>
      </c>
      <c r="C19" s="13">
        <v>21.11</v>
      </c>
      <c r="D19" s="13">
        <v>20.82</v>
      </c>
      <c r="E19" s="13">
        <v>21.01</v>
      </c>
    </row>
    <row r="20" spans="1:5" x14ac:dyDescent="0.2">
      <c r="A20" s="16" t="s">
        <v>32</v>
      </c>
      <c r="B20" s="13">
        <v>20.97</v>
      </c>
      <c r="C20" s="13">
        <v>21.19</v>
      </c>
      <c r="D20" s="13">
        <v>20.85</v>
      </c>
      <c r="E20" s="13">
        <v>21.18</v>
      </c>
    </row>
    <row r="21" spans="1:5" x14ac:dyDescent="0.2">
      <c r="A21" s="16" t="s">
        <v>33</v>
      </c>
      <c r="B21" s="13">
        <v>21.19</v>
      </c>
      <c r="C21" s="13">
        <v>21.43</v>
      </c>
      <c r="D21" s="13">
        <v>20.9</v>
      </c>
      <c r="E21" s="13">
        <v>21.04</v>
      </c>
    </row>
    <row r="22" spans="1:5" x14ac:dyDescent="0.2">
      <c r="A22" s="16" t="s">
        <v>34</v>
      </c>
      <c r="B22" s="13">
        <v>21.04</v>
      </c>
      <c r="C22" s="13">
        <v>21.29</v>
      </c>
      <c r="D22" s="13">
        <v>20.86</v>
      </c>
      <c r="E22" s="13">
        <v>21.29</v>
      </c>
    </row>
    <row r="23" spans="1:5" x14ac:dyDescent="0.2">
      <c r="A23" s="16" t="s">
        <v>35</v>
      </c>
      <c r="B23" s="13">
        <v>21.24</v>
      </c>
      <c r="C23" s="13">
        <v>21.29</v>
      </c>
      <c r="D23" s="13">
        <v>20.875</v>
      </c>
      <c r="E23" s="13">
        <v>21.29</v>
      </c>
    </row>
    <row r="24" spans="1:5" x14ac:dyDescent="0.2">
      <c r="A24" s="16" t="s">
        <v>36</v>
      </c>
      <c r="B24" s="13">
        <v>21.39</v>
      </c>
      <c r="C24" s="13">
        <v>21.58</v>
      </c>
      <c r="D24" s="13">
        <v>20.93</v>
      </c>
      <c r="E24" s="13">
        <v>21.57</v>
      </c>
    </row>
    <row r="25" spans="1:5" x14ac:dyDescent="0.2">
      <c r="A25" s="16" t="s">
        <v>37</v>
      </c>
      <c r="B25" s="13">
        <v>21.55</v>
      </c>
      <c r="C25" s="13">
        <v>21.62</v>
      </c>
      <c r="D25" s="13">
        <v>21.31</v>
      </c>
      <c r="E25" s="13">
        <v>21.6</v>
      </c>
    </row>
    <row r="26" spans="1:5" x14ac:dyDescent="0.2">
      <c r="A26" s="16" t="s">
        <v>38</v>
      </c>
      <c r="B26" s="13">
        <v>21.49</v>
      </c>
      <c r="C26" s="13">
        <v>21.78</v>
      </c>
      <c r="D26" s="13">
        <v>21.38</v>
      </c>
      <c r="E26" s="13">
        <v>21.78</v>
      </c>
    </row>
    <row r="27" spans="1:5" x14ac:dyDescent="0.2">
      <c r="A27" s="16" t="s">
        <v>39</v>
      </c>
      <c r="B27" s="13">
        <v>21.78</v>
      </c>
      <c r="C27" s="13">
        <v>21.87</v>
      </c>
      <c r="D27" s="13">
        <v>21.7</v>
      </c>
      <c r="E27" s="13">
        <v>21.85</v>
      </c>
    </row>
    <row r="28" spans="1:5" x14ac:dyDescent="0.2">
      <c r="A28" s="16" t="s">
        <v>40</v>
      </c>
      <c r="B28" s="13">
        <v>21.86</v>
      </c>
      <c r="C28" s="13">
        <v>21.95</v>
      </c>
      <c r="D28" s="13">
        <v>21.58</v>
      </c>
      <c r="E28" s="13">
        <v>21.73</v>
      </c>
    </row>
    <row r="29" spans="1:5" x14ac:dyDescent="0.2">
      <c r="A29" s="16" t="s">
        <v>41</v>
      </c>
      <c r="B29" s="13">
        <v>21.63</v>
      </c>
      <c r="C29" s="13">
        <v>21.73</v>
      </c>
      <c r="D29" s="13">
        <v>21.43</v>
      </c>
      <c r="E29" s="13">
        <v>21.56</v>
      </c>
    </row>
    <row r="30" spans="1:5" x14ac:dyDescent="0.2">
      <c r="A30" s="16" t="s">
        <v>42</v>
      </c>
      <c r="B30" s="13">
        <v>21.6</v>
      </c>
      <c r="C30" s="13">
        <v>21.7</v>
      </c>
      <c r="D30" s="13">
        <v>21.4</v>
      </c>
      <c r="E30" s="13">
        <v>21.48</v>
      </c>
    </row>
    <row r="31" spans="1:5" x14ac:dyDescent="0.2">
      <c r="A31" s="16" t="s">
        <v>43</v>
      </c>
      <c r="B31" s="13">
        <v>21.45</v>
      </c>
      <c r="C31" s="13">
        <v>21.48</v>
      </c>
      <c r="D31" s="13">
        <v>21.23</v>
      </c>
      <c r="E31" s="13">
        <v>21.37</v>
      </c>
    </row>
    <row r="32" spans="1:5" x14ac:dyDescent="0.2">
      <c r="A32" s="16" t="s">
        <v>44</v>
      </c>
      <c r="B32" s="13">
        <v>21.2</v>
      </c>
      <c r="C32" s="13">
        <v>21.37</v>
      </c>
      <c r="D32" s="13">
        <v>21.04</v>
      </c>
      <c r="E32" s="13">
        <v>21.37</v>
      </c>
    </row>
    <row r="33" spans="1:5" x14ac:dyDescent="0.2">
      <c r="A33" s="16" t="s">
        <v>45</v>
      </c>
      <c r="B33" s="13">
        <v>21.45</v>
      </c>
      <c r="C33" s="13">
        <v>21.84</v>
      </c>
      <c r="D33" s="13">
        <v>21.41</v>
      </c>
      <c r="E33" s="13">
        <v>21.77</v>
      </c>
    </row>
    <row r="34" spans="1:5" x14ac:dyDescent="0.2">
      <c r="A34" s="16" t="s">
        <v>46</v>
      </c>
      <c r="B34" s="13">
        <v>21.84</v>
      </c>
      <c r="C34" s="13">
        <v>21.88</v>
      </c>
      <c r="D34" s="13">
        <v>21.55</v>
      </c>
      <c r="E34" s="13">
        <v>21.73</v>
      </c>
    </row>
    <row r="35" spans="1:5" x14ac:dyDescent="0.2">
      <c r="A35" s="16" t="s">
        <v>47</v>
      </c>
      <c r="B35" s="13">
        <v>21.64</v>
      </c>
      <c r="C35" s="13">
        <v>21.72</v>
      </c>
      <c r="D35" s="13">
        <v>21.44</v>
      </c>
      <c r="E35" s="13">
        <v>21.7</v>
      </c>
    </row>
    <row r="36" spans="1:5" x14ac:dyDescent="0.2">
      <c r="A36" s="16" t="s">
        <v>48</v>
      </c>
      <c r="B36" s="13">
        <v>21.65</v>
      </c>
      <c r="C36" s="13">
        <v>21.82</v>
      </c>
      <c r="D36" s="13">
        <v>21.48</v>
      </c>
      <c r="E36" s="13">
        <v>21.73</v>
      </c>
    </row>
    <row r="37" spans="1:5" x14ac:dyDescent="0.2">
      <c r="A37" s="16" t="s">
        <v>49</v>
      </c>
      <c r="B37" s="13">
        <v>21.5</v>
      </c>
      <c r="C37" s="13">
        <v>21.6</v>
      </c>
      <c r="D37" s="13">
        <v>21.16</v>
      </c>
      <c r="E37" s="13">
        <v>21.31</v>
      </c>
    </row>
    <row r="38" spans="1:5" x14ac:dyDescent="0.2">
      <c r="A38" s="16" t="s">
        <v>50</v>
      </c>
      <c r="B38" s="13">
        <v>21.2</v>
      </c>
      <c r="C38" s="13">
        <v>21.64</v>
      </c>
      <c r="D38" s="13">
        <v>21.15</v>
      </c>
      <c r="E38" s="13">
        <v>21.55</v>
      </c>
    </row>
    <row r="39" spans="1:5" x14ac:dyDescent="0.2">
      <c r="A39" s="16" t="s">
        <v>51</v>
      </c>
      <c r="B39" s="13">
        <v>21.5</v>
      </c>
      <c r="C39" s="13">
        <v>21.84</v>
      </c>
      <c r="D39" s="13">
        <v>21.4</v>
      </c>
      <c r="E39" s="13">
        <v>21.82</v>
      </c>
    </row>
    <row r="40" spans="1:5" x14ac:dyDescent="0.2">
      <c r="A40" s="16" t="s">
        <v>52</v>
      </c>
      <c r="B40" s="13">
        <v>21.83</v>
      </c>
      <c r="C40" s="13">
        <v>21.93</v>
      </c>
      <c r="D40" s="13">
        <v>21.09</v>
      </c>
      <c r="E40" s="13">
        <v>21.34</v>
      </c>
    </row>
    <row r="41" spans="1:5" x14ac:dyDescent="0.2">
      <c r="A41" s="16" t="s">
        <v>53</v>
      </c>
      <c r="B41" s="13">
        <v>21.34</v>
      </c>
      <c r="C41" s="13">
        <v>21.73</v>
      </c>
      <c r="D41" s="13">
        <v>21.12</v>
      </c>
      <c r="E41" s="13">
        <v>21.73</v>
      </c>
    </row>
    <row r="42" spans="1:5" x14ac:dyDescent="0.2">
      <c r="A42" s="16" t="s">
        <v>54</v>
      </c>
      <c r="B42" s="13">
        <v>21.36</v>
      </c>
      <c r="C42" s="13">
        <v>21.43</v>
      </c>
      <c r="D42" s="13">
        <v>19.88</v>
      </c>
      <c r="E42" s="13">
        <v>20.89</v>
      </c>
    </row>
    <row r="43" spans="1:5" x14ac:dyDescent="0.2">
      <c r="A43" s="16" t="s">
        <v>55</v>
      </c>
      <c r="B43" s="13">
        <v>20.65</v>
      </c>
      <c r="C43" s="13">
        <v>21.64</v>
      </c>
      <c r="D43" s="13">
        <v>20.6</v>
      </c>
      <c r="E43" s="13">
        <v>21.41</v>
      </c>
    </row>
    <row r="44" spans="1:5" x14ac:dyDescent="0.2">
      <c r="A44" s="16" t="s">
        <v>56</v>
      </c>
      <c r="B44" s="13">
        <v>21.25</v>
      </c>
      <c r="C44" s="13">
        <v>21.93</v>
      </c>
      <c r="D44" s="13">
        <v>21.24</v>
      </c>
      <c r="E44" s="13">
        <v>21.82</v>
      </c>
    </row>
    <row r="45" spans="1:5" x14ac:dyDescent="0.2">
      <c r="A45" s="16" t="s">
        <v>57</v>
      </c>
      <c r="B45" s="13">
        <v>21.2</v>
      </c>
      <c r="C45" s="13">
        <v>21.57</v>
      </c>
      <c r="D45" s="13">
        <v>21.09</v>
      </c>
      <c r="E45" s="13">
        <v>21.09</v>
      </c>
    </row>
    <row r="46" spans="1:5" x14ac:dyDescent="0.2">
      <c r="A46" s="16" t="s">
        <v>58</v>
      </c>
      <c r="B46" s="13">
        <v>20.76</v>
      </c>
      <c r="C46" s="13">
        <v>21.23</v>
      </c>
      <c r="D46" s="13">
        <v>20.5</v>
      </c>
      <c r="E46" s="13">
        <v>20.53</v>
      </c>
    </row>
    <row r="47" spans="1:5" x14ac:dyDescent="0.2">
      <c r="A47" s="16" t="s">
        <v>59</v>
      </c>
      <c r="B47" s="13">
        <v>20.55</v>
      </c>
      <c r="C47" s="13">
        <v>20.88</v>
      </c>
      <c r="D47" s="13">
        <v>20.5</v>
      </c>
      <c r="E47" s="13">
        <v>20.8</v>
      </c>
    </row>
    <row r="48" spans="1:5" x14ac:dyDescent="0.2">
      <c r="A48" s="16" t="s">
        <v>60</v>
      </c>
      <c r="B48" s="13">
        <v>20.67</v>
      </c>
      <c r="C48" s="13">
        <v>21.08</v>
      </c>
      <c r="D48" s="13">
        <v>20.67</v>
      </c>
      <c r="E48" s="13">
        <v>21.08</v>
      </c>
    </row>
    <row r="49" spans="1:5" x14ac:dyDescent="0.2">
      <c r="A49" s="16" t="s">
        <v>61</v>
      </c>
      <c r="B49" s="13">
        <v>20.98</v>
      </c>
      <c r="C49" s="13">
        <v>21.6</v>
      </c>
      <c r="D49" s="13">
        <v>20.98</v>
      </c>
      <c r="E49" s="13">
        <v>21.59</v>
      </c>
    </row>
    <row r="50" spans="1:5" x14ac:dyDescent="0.2">
      <c r="A50" s="16" t="s">
        <v>62</v>
      </c>
      <c r="B50" s="13">
        <v>21.21</v>
      </c>
      <c r="C50" s="13">
        <v>21.65</v>
      </c>
      <c r="D50" s="13">
        <v>21.21</v>
      </c>
      <c r="E50" s="13">
        <v>21.51</v>
      </c>
    </row>
    <row r="51" spans="1:5" x14ac:dyDescent="0.2">
      <c r="A51" s="16" t="s">
        <v>63</v>
      </c>
      <c r="B51" s="13">
        <v>21.38</v>
      </c>
      <c r="C51" s="13">
        <v>21.97</v>
      </c>
      <c r="D51" s="13">
        <v>21.38</v>
      </c>
      <c r="E51" s="13">
        <v>21.73</v>
      </c>
    </row>
    <row r="52" spans="1:5" x14ac:dyDescent="0.2">
      <c r="A52" s="16" t="s">
        <v>64</v>
      </c>
      <c r="B52" s="13">
        <v>21.85</v>
      </c>
      <c r="C52" s="13">
        <v>22.1</v>
      </c>
      <c r="D52" s="13">
        <v>21.83</v>
      </c>
      <c r="E52" s="13">
        <v>21.95</v>
      </c>
    </row>
    <row r="53" spans="1:5" x14ac:dyDescent="0.2">
      <c r="A53" s="16" t="s">
        <v>65</v>
      </c>
      <c r="B53" s="13">
        <v>21.91</v>
      </c>
      <c r="C53" s="13">
        <v>21.91</v>
      </c>
      <c r="D53" s="13">
        <v>21.65</v>
      </c>
      <c r="E53" s="13">
        <v>21.66</v>
      </c>
    </row>
    <row r="54" spans="1:5" x14ac:dyDescent="0.2">
      <c r="A54" s="16" t="s">
        <v>66</v>
      </c>
      <c r="B54" s="13">
        <v>21.44</v>
      </c>
      <c r="C54" s="13">
        <v>21.46</v>
      </c>
      <c r="D54" s="13">
        <v>20.85</v>
      </c>
      <c r="E54" s="13">
        <v>21</v>
      </c>
    </row>
    <row r="55" spans="1:5" x14ac:dyDescent="0.2">
      <c r="A55" s="16" t="s">
        <v>67</v>
      </c>
      <c r="B55" s="13">
        <v>20.95</v>
      </c>
      <c r="C55" s="13">
        <v>21.26</v>
      </c>
      <c r="D55" s="13">
        <v>20.87</v>
      </c>
      <c r="E55" s="13">
        <v>21.16</v>
      </c>
    </row>
    <row r="56" spans="1:5" x14ac:dyDescent="0.2">
      <c r="A56" s="16" t="s">
        <v>68</v>
      </c>
      <c r="B56" s="13">
        <v>21.09</v>
      </c>
      <c r="C56" s="13">
        <v>21.23</v>
      </c>
      <c r="D56" s="13">
        <v>21</v>
      </c>
      <c r="E56" s="13">
        <v>21.02</v>
      </c>
    </row>
    <row r="57" spans="1:5" x14ac:dyDescent="0.2">
      <c r="A57" s="16" t="s">
        <v>69</v>
      </c>
      <c r="B57" s="13">
        <v>21.03</v>
      </c>
      <c r="C57" s="13">
        <v>21.25</v>
      </c>
      <c r="D57" s="13">
        <v>21.02</v>
      </c>
      <c r="E57" s="13">
        <v>21.22</v>
      </c>
    </row>
    <row r="58" spans="1:5" x14ac:dyDescent="0.2">
      <c r="A58" s="16" t="s">
        <v>70</v>
      </c>
      <c r="B58" s="13">
        <v>21.43</v>
      </c>
      <c r="C58" s="13">
        <v>21.46</v>
      </c>
      <c r="D58" s="13">
        <v>21.09</v>
      </c>
      <c r="E58" s="13">
        <v>21.32</v>
      </c>
    </row>
    <row r="59" spans="1:5" x14ac:dyDescent="0.2">
      <c r="A59" s="16" t="s">
        <v>71</v>
      </c>
      <c r="B59" s="13">
        <v>21.1</v>
      </c>
      <c r="C59" s="13">
        <v>21.22</v>
      </c>
      <c r="D59" s="13">
        <v>21</v>
      </c>
      <c r="E59" s="13">
        <v>21.03</v>
      </c>
    </row>
    <row r="60" spans="1:5" x14ac:dyDescent="0.2">
      <c r="A60" s="16" t="s">
        <v>72</v>
      </c>
      <c r="B60" s="13">
        <v>21.09</v>
      </c>
      <c r="C60" s="13">
        <v>21.33</v>
      </c>
      <c r="D60" s="13">
        <v>21.07</v>
      </c>
      <c r="E60" s="13">
        <v>21.24</v>
      </c>
    </row>
    <row r="61" spans="1:5" x14ac:dyDescent="0.2">
      <c r="A61" s="16" t="s">
        <v>73</v>
      </c>
      <c r="B61" s="13">
        <v>21.11</v>
      </c>
      <c r="C61" s="13">
        <v>21.47</v>
      </c>
      <c r="D61" s="13">
        <v>21.08</v>
      </c>
      <c r="E61" s="13">
        <v>21.47</v>
      </c>
    </row>
    <row r="62" spans="1:5" x14ac:dyDescent="0.2">
      <c r="A62" s="16" t="s">
        <v>74</v>
      </c>
      <c r="B62" s="13">
        <v>21.2</v>
      </c>
      <c r="C62" s="13">
        <v>21.5</v>
      </c>
      <c r="D62" s="13">
        <v>21.2</v>
      </c>
      <c r="E62" s="13">
        <v>21.44</v>
      </c>
    </row>
    <row r="63" spans="1:5" x14ac:dyDescent="0.2">
      <c r="A63" s="16" t="s">
        <v>75</v>
      </c>
      <c r="B63" s="13">
        <v>21.5</v>
      </c>
      <c r="C63" s="13">
        <v>21.85</v>
      </c>
      <c r="D63" s="13">
        <v>21.49</v>
      </c>
      <c r="E63" s="13">
        <v>21.85</v>
      </c>
    </row>
    <row r="64" spans="1:5" x14ac:dyDescent="0.2">
      <c r="A64" s="16" t="s">
        <v>76</v>
      </c>
      <c r="B64" s="13">
        <v>21.6</v>
      </c>
      <c r="C64" s="13">
        <v>21.77</v>
      </c>
      <c r="D64" s="13">
        <v>21.48</v>
      </c>
      <c r="E64" s="13">
        <v>21.69</v>
      </c>
    </row>
    <row r="65" spans="1:5" x14ac:dyDescent="0.2">
      <c r="A65" s="16" t="s">
        <v>77</v>
      </c>
      <c r="B65" s="13">
        <v>21.59</v>
      </c>
      <c r="C65" s="13">
        <v>21.67</v>
      </c>
      <c r="D65" s="13">
        <v>21.09</v>
      </c>
      <c r="E65" s="13">
        <v>21.12</v>
      </c>
    </row>
    <row r="66" spans="1:5" x14ac:dyDescent="0.2">
      <c r="A66" s="16" t="s">
        <v>78</v>
      </c>
      <c r="B66" s="13">
        <v>21.24</v>
      </c>
      <c r="C66" s="13">
        <v>21.65</v>
      </c>
      <c r="D66" s="13">
        <v>21.2</v>
      </c>
      <c r="E66" s="13">
        <v>21.56</v>
      </c>
    </row>
    <row r="67" spans="1:5" x14ac:dyDescent="0.2">
      <c r="A67" s="16" t="s">
        <v>79</v>
      </c>
      <c r="B67" s="13">
        <v>21.33</v>
      </c>
      <c r="C67" s="13">
        <v>21.4</v>
      </c>
      <c r="D67" s="13">
        <v>21.07</v>
      </c>
      <c r="E67" s="13">
        <v>21.15</v>
      </c>
    </row>
    <row r="68" spans="1:5" x14ac:dyDescent="0.2">
      <c r="A68" s="16" t="s">
        <v>80</v>
      </c>
      <c r="B68" s="13">
        <v>21.26</v>
      </c>
      <c r="C68" s="13">
        <v>21.7</v>
      </c>
      <c r="D68" s="13">
        <v>21.2</v>
      </c>
      <c r="E68" s="13">
        <v>21.65</v>
      </c>
    </row>
    <row r="69" spans="1:5" x14ac:dyDescent="0.2">
      <c r="A69" s="16" t="s">
        <v>81</v>
      </c>
      <c r="B69" s="13">
        <v>21.21</v>
      </c>
      <c r="C69" s="13">
        <v>21.4</v>
      </c>
      <c r="D69" s="13">
        <v>21.05</v>
      </c>
      <c r="E69" s="13">
        <v>21.26</v>
      </c>
    </row>
    <row r="70" spans="1:5" x14ac:dyDescent="0.2">
      <c r="A70" s="16" t="s">
        <v>82</v>
      </c>
      <c r="B70" s="13">
        <v>21.3</v>
      </c>
      <c r="C70" s="13">
        <v>21.54</v>
      </c>
      <c r="D70" s="13">
        <v>21.29</v>
      </c>
      <c r="E70" s="13">
        <v>21.43</v>
      </c>
    </row>
    <row r="71" spans="1:5" x14ac:dyDescent="0.2">
      <c r="A71" s="16" t="s">
        <v>83</v>
      </c>
      <c r="B71" s="13">
        <v>21.05</v>
      </c>
      <c r="C71" s="13">
        <v>21.45</v>
      </c>
      <c r="D71" s="13">
        <v>21.03</v>
      </c>
      <c r="E71" s="13">
        <v>21.36</v>
      </c>
    </row>
    <row r="72" spans="1:5" x14ac:dyDescent="0.2">
      <c r="A72" s="16" t="s">
        <v>84</v>
      </c>
      <c r="B72" s="13">
        <v>21.26</v>
      </c>
      <c r="C72" s="13">
        <v>21.38</v>
      </c>
      <c r="D72" s="13">
        <v>21.15</v>
      </c>
      <c r="E72" s="13">
        <v>21.36</v>
      </c>
    </row>
    <row r="73" spans="1:5" x14ac:dyDescent="0.2">
      <c r="A73" s="16" t="s">
        <v>85</v>
      </c>
      <c r="B73" s="13">
        <v>21.14</v>
      </c>
      <c r="C73" s="13">
        <v>21.29</v>
      </c>
      <c r="D73" s="13">
        <v>21.03</v>
      </c>
      <c r="E73" s="13">
        <v>21.23</v>
      </c>
    </row>
    <row r="74" spans="1:5" x14ac:dyDescent="0.2">
      <c r="A74" s="16" t="s">
        <v>86</v>
      </c>
      <c r="B74" s="13">
        <v>21.06</v>
      </c>
      <c r="C74" s="13">
        <v>21.2</v>
      </c>
      <c r="D74" s="13">
        <v>20.885000000000002</v>
      </c>
      <c r="E74" s="13">
        <v>20.89</v>
      </c>
    </row>
    <row r="75" spans="1:5" x14ac:dyDescent="0.2">
      <c r="A75" s="16" t="s">
        <v>87</v>
      </c>
      <c r="B75" s="13">
        <v>20.99</v>
      </c>
      <c r="C75" s="13">
        <v>21.12</v>
      </c>
      <c r="D75" s="13">
        <v>20.89</v>
      </c>
      <c r="E75" s="13">
        <v>21.06</v>
      </c>
    </row>
    <row r="76" spans="1:5" x14ac:dyDescent="0.2">
      <c r="A76" s="16" t="s">
        <v>88</v>
      </c>
      <c r="B76" s="13">
        <v>20.95</v>
      </c>
      <c r="C76" s="13">
        <v>21.25</v>
      </c>
      <c r="D76" s="13">
        <v>20.95</v>
      </c>
      <c r="E76" s="13">
        <v>21.04</v>
      </c>
    </row>
    <row r="77" spans="1:5" x14ac:dyDescent="0.2">
      <c r="A77" s="16" t="s">
        <v>89</v>
      </c>
      <c r="B77" s="13">
        <v>20.95</v>
      </c>
      <c r="C77" s="13">
        <v>20.98</v>
      </c>
      <c r="D77" s="13">
        <v>19.989999999999998</v>
      </c>
      <c r="E77" s="13">
        <v>19.989999999999998</v>
      </c>
    </row>
    <row r="78" spans="1:5" x14ac:dyDescent="0.2">
      <c r="A78" s="16" t="s">
        <v>90</v>
      </c>
      <c r="B78" s="13">
        <v>20.39</v>
      </c>
      <c r="C78" s="13">
        <v>20.47</v>
      </c>
      <c r="D78" s="13">
        <v>20.11</v>
      </c>
      <c r="E78" s="13">
        <v>20.27</v>
      </c>
    </row>
    <row r="79" spans="1:5" x14ac:dyDescent="0.2">
      <c r="A79" s="16" t="s">
        <v>91</v>
      </c>
      <c r="B79" s="13">
        <v>20.29</v>
      </c>
      <c r="C79" s="13">
        <v>20.99</v>
      </c>
      <c r="D79" s="13">
        <v>20.29</v>
      </c>
      <c r="E79" s="13">
        <v>20.99</v>
      </c>
    </row>
    <row r="80" spans="1:5" x14ac:dyDescent="0.2">
      <c r="A80" s="16" t="s">
        <v>92</v>
      </c>
      <c r="B80" s="13">
        <v>21.08</v>
      </c>
      <c r="C80" s="13">
        <v>21.27</v>
      </c>
      <c r="D80" s="13">
        <v>20.7</v>
      </c>
      <c r="E80" s="13">
        <v>20.75</v>
      </c>
    </row>
    <row r="81" spans="1:5" x14ac:dyDescent="0.2">
      <c r="A81" s="16" t="s">
        <v>93</v>
      </c>
      <c r="B81" s="13">
        <v>20.79</v>
      </c>
      <c r="C81" s="13">
        <v>21.03</v>
      </c>
      <c r="D81" s="13">
        <v>20.71</v>
      </c>
      <c r="E81" s="13">
        <v>20.99</v>
      </c>
    </row>
    <row r="82" spans="1:5" x14ac:dyDescent="0.2">
      <c r="A82" s="16" t="s">
        <v>94</v>
      </c>
      <c r="B82" s="13">
        <v>21.1</v>
      </c>
      <c r="C82" s="13">
        <v>21.32</v>
      </c>
      <c r="D82" s="13">
        <v>21.05</v>
      </c>
      <c r="E82" s="13">
        <v>21.19</v>
      </c>
    </row>
    <row r="83" spans="1:5" x14ac:dyDescent="0.2">
      <c r="A83" s="16" t="s">
        <v>95</v>
      </c>
      <c r="B83" s="13">
        <v>21.22</v>
      </c>
      <c r="C83" s="13">
        <v>21.29</v>
      </c>
      <c r="D83" s="13">
        <v>21.05</v>
      </c>
      <c r="E83" s="13">
        <v>21.21</v>
      </c>
    </row>
    <row r="84" spans="1:5" x14ac:dyDescent="0.2">
      <c r="A84" s="16" t="s">
        <v>96</v>
      </c>
      <c r="B84" s="13">
        <v>21.06</v>
      </c>
      <c r="C84" s="13">
        <v>21.21</v>
      </c>
      <c r="D84" s="13">
        <v>20.88</v>
      </c>
      <c r="E84" s="13">
        <v>20.88</v>
      </c>
    </row>
    <row r="85" spans="1:5" x14ac:dyDescent="0.2">
      <c r="A85" s="16" t="s">
        <v>97</v>
      </c>
      <c r="B85" s="13">
        <v>20.83</v>
      </c>
      <c r="C85" s="13">
        <v>21.03</v>
      </c>
      <c r="D85" s="13">
        <v>20.399999999999999</v>
      </c>
      <c r="E85" s="13">
        <v>20.47</v>
      </c>
    </row>
    <row r="86" spans="1:5" x14ac:dyDescent="0.2">
      <c r="A86" s="16" t="s">
        <v>98</v>
      </c>
      <c r="B86" s="13">
        <v>20.65</v>
      </c>
      <c r="C86" s="13">
        <v>20.75</v>
      </c>
      <c r="D86" s="13">
        <v>20.45</v>
      </c>
      <c r="E86" s="13">
        <v>20.5</v>
      </c>
    </row>
    <row r="87" spans="1:5" x14ac:dyDescent="0.2">
      <c r="A87" s="16" t="s">
        <v>99</v>
      </c>
      <c r="B87" s="13">
        <v>20.48</v>
      </c>
      <c r="C87" s="13">
        <v>20.51</v>
      </c>
      <c r="D87" s="13">
        <v>19.96</v>
      </c>
      <c r="E87" s="13">
        <v>20.059999999999999</v>
      </c>
    </row>
    <row r="88" spans="1:5" x14ac:dyDescent="0.2">
      <c r="A88" s="16" t="s">
        <v>100</v>
      </c>
      <c r="B88" s="13">
        <v>20.18</v>
      </c>
      <c r="C88" s="13">
        <v>20.6</v>
      </c>
      <c r="D88" s="13">
        <v>20.149999999999999</v>
      </c>
      <c r="E88" s="13">
        <v>20.59</v>
      </c>
    </row>
    <row r="89" spans="1:5" x14ac:dyDescent="0.2">
      <c r="A89" s="16" t="s">
        <v>101</v>
      </c>
      <c r="B89" s="13">
        <v>20.68</v>
      </c>
      <c r="C89" s="13">
        <v>21.08</v>
      </c>
      <c r="D89" s="13">
        <v>20.62</v>
      </c>
      <c r="E89" s="13">
        <v>21.05</v>
      </c>
    </row>
    <row r="90" spans="1:5" x14ac:dyDescent="0.2">
      <c r="A90" s="16" t="s">
        <v>102</v>
      </c>
      <c r="B90" s="13">
        <v>20.9</v>
      </c>
      <c r="C90" s="13">
        <v>21.14</v>
      </c>
      <c r="D90" s="13">
        <v>20.64</v>
      </c>
      <c r="E90" s="13">
        <v>20.64</v>
      </c>
    </row>
    <row r="91" spans="1:5" x14ac:dyDescent="0.2">
      <c r="A91" s="16" t="s">
        <v>103</v>
      </c>
      <c r="B91" s="13">
        <v>20.55</v>
      </c>
      <c r="C91" s="13">
        <v>20.81</v>
      </c>
      <c r="D91" s="13">
        <v>20.420000000000002</v>
      </c>
      <c r="E91" s="13">
        <v>20.420000000000002</v>
      </c>
    </row>
    <row r="92" spans="1:5" x14ac:dyDescent="0.2">
      <c r="A92" s="16" t="s">
        <v>104</v>
      </c>
      <c r="B92" s="13">
        <v>20.36</v>
      </c>
      <c r="C92" s="13">
        <v>20.6</v>
      </c>
      <c r="D92" s="13">
        <v>19.739999999999998</v>
      </c>
      <c r="E92" s="13">
        <v>19.84</v>
      </c>
    </row>
    <row r="93" spans="1:5" x14ac:dyDescent="0.2">
      <c r="A93" s="16" t="s">
        <v>105</v>
      </c>
      <c r="B93" s="13">
        <v>19.91</v>
      </c>
      <c r="C93" s="13">
        <v>20.6</v>
      </c>
      <c r="D93" s="13">
        <v>19.88</v>
      </c>
      <c r="E93" s="13">
        <v>20.59</v>
      </c>
    </row>
    <row r="94" spans="1:5" x14ac:dyDescent="0.2">
      <c r="A94" s="16" t="s">
        <v>106</v>
      </c>
      <c r="B94" s="13">
        <v>20.68</v>
      </c>
      <c r="C94" s="13">
        <v>20.81</v>
      </c>
      <c r="D94" s="13">
        <v>20.5</v>
      </c>
      <c r="E94" s="13">
        <v>20.62</v>
      </c>
    </row>
    <row r="95" spans="1:5" x14ac:dyDescent="0.2">
      <c r="A95" s="16" t="s">
        <v>107</v>
      </c>
      <c r="B95" s="13">
        <v>20.77</v>
      </c>
      <c r="C95" s="13">
        <v>20.88</v>
      </c>
      <c r="D95" s="13">
        <v>20.6</v>
      </c>
      <c r="E95" s="13">
        <v>20.7</v>
      </c>
    </row>
    <row r="96" spans="1:5" x14ac:dyDescent="0.2">
      <c r="A96" s="16" t="s">
        <v>108</v>
      </c>
      <c r="B96" s="13">
        <v>20.54</v>
      </c>
      <c r="C96" s="13">
        <v>20.67</v>
      </c>
      <c r="D96" s="13">
        <v>20.34</v>
      </c>
      <c r="E96" s="13">
        <v>20.39</v>
      </c>
    </row>
    <row r="97" spans="1:5" x14ac:dyDescent="0.2">
      <c r="A97" s="16" t="s">
        <v>109</v>
      </c>
      <c r="B97" s="13">
        <v>20.440000000000001</v>
      </c>
      <c r="C97" s="13">
        <v>20.7</v>
      </c>
      <c r="D97" s="13">
        <v>20.21</v>
      </c>
      <c r="E97" s="13">
        <v>20.440000000000001</v>
      </c>
    </row>
    <row r="98" spans="1:5" x14ac:dyDescent="0.2">
      <c r="A98" s="16" t="s">
        <v>110</v>
      </c>
      <c r="B98" s="13">
        <v>20.399999999999999</v>
      </c>
      <c r="C98" s="13">
        <v>20.68</v>
      </c>
      <c r="D98" s="13">
        <v>20.38</v>
      </c>
      <c r="E98" s="13">
        <v>20.65</v>
      </c>
    </row>
    <row r="99" spans="1:5" x14ac:dyDescent="0.2">
      <c r="A99" s="16" t="s">
        <v>111</v>
      </c>
      <c r="B99" s="13">
        <v>20.67</v>
      </c>
      <c r="C99" s="13">
        <v>20.77</v>
      </c>
      <c r="D99" s="13">
        <v>20.27</v>
      </c>
      <c r="E99" s="13">
        <v>20.34</v>
      </c>
    </row>
    <row r="100" spans="1:5" x14ac:dyDescent="0.2">
      <c r="A100" s="16" t="s">
        <v>112</v>
      </c>
      <c r="B100" s="13">
        <v>20.28</v>
      </c>
      <c r="C100" s="13">
        <v>20.32</v>
      </c>
      <c r="D100" s="13">
        <v>19.920000000000002</v>
      </c>
      <c r="E100" s="13">
        <v>20</v>
      </c>
    </row>
    <row r="101" spans="1:5" x14ac:dyDescent="0.2">
      <c r="A101" s="16" t="s">
        <v>113</v>
      </c>
      <c r="B101" s="13">
        <v>19.760000000000002</v>
      </c>
      <c r="C101" s="13">
        <v>19.98</v>
      </c>
      <c r="D101" s="13">
        <v>19.510000000000002</v>
      </c>
      <c r="E101" s="13">
        <v>19.510000000000002</v>
      </c>
    </row>
    <row r="102" spans="1:5" x14ac:dyDescent="0.2">
      <c r="A102" s="16" t="s">
        <v>114</v>
      </c>
      <c r="B102" s="13">
        <v>19.649999999999999</v>
      </c>
      <c r="C102" s="13">
        <v>19.84</v>
      </c>
      <c r="D102" s="13">
        <v>19.54</v>
      </c>
      <c r="E102" s="13">
        <v>19.8</v>
      </c>
    </row>
    <row r="103" spans="1:5" x14ac:dyDescent="0.2">
      <c r="A103" s="16" t="s">
        <v>115</v>
      </c>
      <c r="B103" s="13">
        <v>19.79</v>
      </c>
      <c r="C103" s="13">
        <v>19.79</v>
      </c>
      <c r="D103" s="13">
        <v>19.350000000000001</v>
      </c>
      <c r="E103" s="13">
        <v>19.399999999999999</v>
      </c>
    </row>
    <row r="104" spans="1:5" x14ac:dyDescent="0.2">
      <c r="A104" s="16" t="s">
        <v>116</v>
      </c>
      <c r="B104" s="13">
        <v>19.16</v>
      </c>
      <c r="C104" s="13">
        <v>19.399999999999999</v>
      </c>
      <c r="D104" s="13">
        <v>18.899999999999999</v>
      </c>
      <c r="E104" s="13">
        <v>18.98</v>
      </c>
    </row>
    <row r="105" spans="1:5" x14ac:dyDescent="0.2">
      <c r="A105" s="16" t="s">
        <v>117</v>
      </c>
      <c r="B105" s="13">
        <v>18.940000000000001</v>
      </c>
      <c r="C105" s="13">
        <v>19.13</v>
      </c>
      <c r="D105" s="13">
        <v>18.785</v>
      </c>
      <c r="E105" s="13">
        <v>19.11</v>
      </c>
    </row>
    <row r="106" spans="1:5" x14ac:dyDescent="0.2">
      <c r="A106" s="16" t="s">
        <v>118</v>
      </c>
      <c r="B106" s="13">
        <v>19.2</v>
      </c>
      <c r="C106" s="13">
        <v>19.28</v>
      </c>
      <c r="D106" s="13">
        <v>18.809999999999999</v>
      </c>
      <c r="E106" s="13">
        <v>18.850000000000001</v>
      </c>
    </row>
    <row r="107" spans="1:5" x14ac:dyDescent="0.2">
      <c r="A107" s="16" t="s">
        <v>119</v>
      </c>
      <c r="B107" s="13">
        <v>19.04</v>
      </c>
      <c r="C107" s="13">
        <v>19.079999999999998</v>
      </c>
      <c r="D107" s="13">
        <v>18.809999999999999</v>
      </c>
      <c r="E107" s="13">
        <v>18.97</v>
      </c>
    </row>
    <row r="108" spans="1:5" x14ac:dyDescent="0.2">
      <c r="A108" s="16" t="s">
        <v>120</v>
      </c>
      <c r="B108" s="13">
        <v>18.920000000000002</v>
      </c>
      <c r="C108" s="13">
        <v>19.04</v>
      </c>
      <c r="D108" s="13">
        <v>18.71</v>
      </c>
      <c r="E108" s="13">
        <v>18.8</v>
      </c>
    </row>
    <row r="109" spans="1:5" x14ac:dyDescent="0.2">
      <c r="A109" s="16" t="s">
        <v>121</v>
      </c>
      <c r="B109" s="13">
        <v>18.829999999999998</v>
      </c>
      <c r="C109" s="13">
        <v>19.16</v>
      </c>
      <c r="D109" s="13">
        <v>18.82</v>
      </c>
      <c r="E109" s="13">
        <v>19.16</v>
      </c>
    </row>
    <row r="110" spans="1:5" x14ac:dyDescent="0.2">
      <c r="A110" s="16" t="s">
        <v>122</v>
      </c>
      <c r="B110" s="13">
        <v>19.2</v>
      </c>
      <c r="C110" s="13">
        <v>19.27</v>
      </c>
      <c r="D110" s="13">
        <v>19.04</v>
      </c>
      <c r="E110" s="13">
        <v>19.2</v>
      </c>
    </row>
    <row r="111" spans="1:5" x14ac:dyDescent="0.2">
      <c r="A111" s="16" t="s">
        <v>123</v>
      </c>
      <c r="B111" s="13">
        <v>19.260000000000002</v>
      </c>
      <c r="C111" s="13">
        <v>19.5</v>
      </c>
      <c r="D111" s="13">
        <v>19.239999999999998</v>
      </c>
      <c r="E111" s="13">
        <v>19.38</v>
      </c>
    </row>
    <row r="112" spans="1:5" x14ac:dyDescent="0.2">
      <c r="A112" s="16" t="s">
        <v>124</v>
      </c>
      <c r="B112" s="13">
        <v>19.29</v>
      </c>
      <c r="C112" s="13">
        <v>19.68</v>
      </c>
      <c r="D112" s="13">
        <v>19.27</v>
      </c>
      <c r="E112" s="13">
        <v>19.53</v>
      </c>
    </row>
    <row r="113" spans="1:5" x14ac:dyDescent="0.2">
      <c r="A113" s="16" t="s">
        <v>125</v>
      </c>
      <c r="B113" s="13">
        <v>19.579999999999998</v>
      </c>
      <c r="C113" s="13">
        <v>19.63</v>
      </c>
      <c r="D113" s="13">
        <v>19.149999999999999</v>
      </c>
      <c r="E113" s="13">
        <v>19.190000000000001</v>
      </c>
    </row>
    <row r="114" spans="1:5" x14ac:dyDescent="0.2">
      <c r="A114" s="16" t="s">
        <v>126</v>
      </c>
      <c r="B114" s="13">
        <v>19.399999999999999</v>
      </c>
      <c r="C114" s="13">
        <v>19.48</v>
      </c>
      <c r="D114" s="13">
        <v>19.22</v>
      </c>
      <c r="E114" s="13">
        <v>19.27</v>
      </c>
    </row>
    <row r="115" spans="1:5" x14ac:dyDescent="0.2">
      <c r="A115" s="16" t="s">
        <v>127</v>
      </c>
      <c r="B115" s="13">
        <v>19.25</v>
      </c>
      <c r="C115" s="13">
        <v>19.600000000000001</v>
      </c>
      <c r="D115" s="13">
        <v>19.100000000000001</v>
      </c>
      <c r="E115" s="13">
        <v>19.57</v>
      </c>
    </row>
    <row r="116" spans="1:5" x14ac:dyDescent="0.2">
      <c r="A116" s="16" t="s">
        <v>128</v>
      </c>
      <c r="B116" s="13">
        <v>19.5</v>
      </c>
      <c r="C116" s="13">
        <v>19.61</v>
      </c>
      <c r="D116" s="13">
        <v>19.36</v>
      </c>
      <c r="E116" s="13">
        <v>19.54</v>
      </c>
    </row>
    <row r="117" spans="1:5" x14ac:dyDescent="0.2">
      <c r="A117" s="16" t="s">
        <v>129</v>
      </c>
      <c r="B117" s="13">
        <v>19.68</v>
      </c>
      <c r="C117" s="13">
        <v>19.95</v>
      </c>
      <c r="D117" s="13">
        <v>19.670000000000002</v>
      </c>
      <c r="E117" s="13">
        <v>19.940000000000001</v>
      </c>
    </row>
    <row r="118" spans="1:5" x14ac:dyDescent="0.2">
      <c r="A118" s="16" t="s">
        <v>130</v>
      </c>
      <c r="B118" s="13">
        <v>19.98</v>
      </c>
      <c r="C118" s="13">
        <v>19.98</v>
      </c>
      <c r="D118" s="13">
        <v>19.739999999999998</v>
      </c>
      <c r="E118" s="13">
        <v>19.88</v>
      </c>
    </row>
    <row r="119" spans="1:5" x14ac:dyDescent="0.2">
      <c r="A119" s="16" t="s">
        <v>131</v>
      </c>
      <c r="B119" s="13">
        <v>19.829999999999998</v>
      </c>
      <c r="C119" s="13">
        <v>19.98</v>
      </c>
      <c r="D119" s="13">
        <v>19.78</v>
      </c>
      <c r="E119" s="13">
        <v>19.829999999999998</v>
      </c>
    </row>
    <row r="120" spans="1:5" x14ac:dyDescent="0.2">
      <c r="A120" s="16" t="s">
        <v>132</v>
      </c>
      <c r="B120" s="13">
        <v>19.86</v>
      </c>
      <c r="C120" s="13">
        <v>19.98</v>
      </c>
      <c r="D120" s="13">
        <v>19.79</v>
      </c>
      <c r="E120" s="13">
        <v>19.8</v>
      </c>
    </row>
    <row r="121" spans="1:5" x14ac:dyDescent="0.2">
      <c r="A121" s="16" t="s">
        <v>133</v>
      </c>
      <c r="B121" s="13">
        <v>19.850000000000001</v>
      </c>
      <c r="C121" s="13">
        <v>19.899999999999999</v>
      </c>
      <c r="D121" s="13">
        <v>19.489999999999998</v>
      </c>
      <c r="E121" s="13">
        <v>19.649999999999999</v>
      </c>
    </row>
    <row r="122" spans="1:5" x14ac:dyDescent="0.2">
      <c r="A122" s="16" t="s">
        <v>134</v>
      </c>
      <c r="B122" s="13">
        <v>19.82</v>
      </c>
      <c r="C122" s="13">
        <v>19.940000000000001</v>
      </c>
      <c r="D122" s="13">
        <v>19.600000000000001</v>
      </c>
      <c r="E122" s="13">
        <v>19.940000000000001</v>
      </c>
    </row>
    <row r="123" spans="1:5" x14ac:dyDescent="0.2">
      <c r="A123" s="16" t="s">
        <v>135</v>
      </c>
      <c r="B123" s="13">
        <v>19.809999999999999</v>
      </c>
      <c r="C123" s="13">
        <v>19.91</v>
      </c>
      <c r="D123" s="13">
        <v>19.53</v>
      </c>
      <c r="E123" s="13">
        <v>19.91</v>
      </c>
    </row>
    <row r="124" spans="1:5" x14ac:dyDescent="0.2">
      <c r="A124" s="16" t="s">
        <v>136</v>
      </c>
      <c r="B124" s="13">
        <v>19.62</v>
      </c>
      <c r="C124" s="13">
        <v>20.04</v>
      </c>
      <c r="D124" s="13">
        <v>19.5</v>
      </c>
      <c r="E124" s="13">
        <v>20.04</v>
      </c>
    </row>
    <row r="125" spans="1:5" x14ac:dyDescent="0.2">
      <c r="A125" s="16" t="s">
        <v>137</v>
      </c>
      <c r="B125" s="13">
        <v>20.05</v>
      </c>
      <c r="C125" s="13">
        <v>20.2</v>
      </c>
      <c r="D125" s="13">
        <v>19.95</v>
      </c>
      <c r="E125" s="13">
        <v>20.18</v>
      </c>
    </row>
    <row r="126" spans="1:5" x14ac:dyDescent="0.2">
      <c r="A126" s="16" t="s">
        <v>138</v>
      </c>
      <c r="B126" s="13">
        <v>20.079999999999998</v>
      </c>
      <c r="C126" s="13">
        <v>20.09</v>
      </c>
      <c r="D126" s="13">
        <v>19.75</v>
      </c>
      <c r="E126" s="13">
        <v>19.82</v>
      </c>
    </row>
    <row r="127" spans="1:5" x14ac:dyDescent="0.2">
      <c r="A127" s="16" t="s">
        <v>139</v>
      </c>
      <c r="B127" s="13">
        <v>19.78</v>
      </c>
      <c r="C127" s="13">
        <v>19.989999999999998</v>
      </c>
      <c r="D127" s="13">
        <v>19.62</v>
      </c>
      <c r="E127" s="13">
        <v>19.989999999999998</v>
      </c>
    </row>
    <row r="128" spans="1:5" x14ac:dyDescent="0.2">
      <c r="A128" s="16" t="s">
        <v>140</v>
      </c>
      <c r="B128" s="13">
        <v>20.11</v>
      </c>
      <c r="C128" s="13">
        <v>20.66</v>
      </c>
      <c r="D128" s="13">
        <v>20.11</v>
      </c>
      <c r="E128" s="13">
        <v>20.63</v>
      </c>
    </row>
    <row r="129" spans="1:5" x14ac:dyDescent="0.2">
      <c r="A129" s="16" t="s">
        <v>141</v>
      </c>
      <c r="B129" s="13">
        <v>20.59</v>
      </c>
      <c r="C129" s="13">
        <v>21.02</v>
      </c>
      <c r="D129" s="13">
        <v>20.48</v>
      </c>
      <c r="E129" s="13">
        <v>21</v>
      </c>
    </row>
    <row r="130" spans="1:5" x14ac:dyDescent="0.2">
      <c r="A130" s="16" t="s">
        <v>142</v>
      </c>
      <c r="B130" s="13">
        <v>20.98</v>
      </c>
      <c r="C130" s="13">
        <v>21.58</v>
      </c>
      <c r="D130" s="13">
        <v>20.89</v>
      </c>
      <c r="E130" s="13">
        <v>21.5</v>
      </c>
    </row>
    <row r="131" spans="1:5" x14ac:dyDescent="0.2">
      <c r="A131" s="16" t="s">
        <v>143</v>
      </c>
      <c r="B131" s="13">
        <v>21.49</v>
      </c>
      <c r="C131" s="13">
        <v>21.49</v>
      </c>
      <c r="D131" s="13">
        <v>21.28</v>
      </c>
      <c r="E131" s="13">
        <v>21.36</v>
      </c>
    </row>
    <row r="132" spans="1:5" x14ac:dyDescent="0.2">
      <c r="A132" s="16" t="s">
        <v>144</v>
      </c>
      <c r="B132" s="13">
        <v>21.3</v>
      </c>
      <c r="C132" s="13">
        <v>21.43</v>
      </c>
      <c r="D132" s="13">
        <v>20.9</v>
      </c>
      <c r="E132" s="13">
        <v>21.34</v>
      </c>
    </row>
    <row r="133" spans="1:5" x14ac:dyDescent="0.2">
      <c r="A133" s="16" t="s">
        <v>145</v>
      </c>
      <c r="B133" s="13">
        <v>21.3</v>
      </c>
      <c r="C133" s="13">
        <v>21.5</v>
      </c>
      <c r="D133" s="13">
        <v>21.21</v>
      </c>
      <c r="E133" s="13">
        <v>21.4</v>
      </c>
    </row>
    <row r="134" spans="1:5" x14ac:dyDescent="0.2">
      <c r="A134" s="16" t="s">
        <v>146</v>
      </c>
      <c r="B134" s="13">
        <v>21.6</v>
      </c>
      <c r="C134" s="13">
        <v>21.684999999999999</v>
      </c>
      <c r="D134" s="13">
        <v>21.4</v>
      </c>
      <c r="E134" s="13">
        <v>21.61</v>
      </c>
    </row>
    <row r="135" spans="1:5" x14ac:dyDescent="0.2">
      <c r="A135" s="16" t="s">
        <v>147</v>
      </c>
      <c r="B135" s="13">
        <v>21.74</v>
      </c>
      <c r="C135" s="13">
        <v>22.05</v>
      </c>
      <c r="D135" s="13">
        <v>21.63</v>
      </c>
      <c r="E135" s="13">
        <v>21.95</v>
      </c>
    </row>
    <row r="136" spans="1:5" x14ac:dyDescent="0.2">
      <c r="A136" s="16" t="s">
        <v>148</v>
      </c>
      <c r="B136" s="13">
        <v>22.2</v>
      </c>
      <c r="C136" s="13">
        <v>22.61</v>
      </c>
      <c r="D136" s="13">
        <v>21.97</v>
      </c>
      <c r="E136" s="13">
        <v>22.56</v>
      </c>
    </row>
    <row r="137" spans="1:5" x14ac:dyDescent="0.2">
      <c r="A137" s="16" t="s">
        <v>149</v>
      </c>
      <c r="B137" s="13">
        <v>22.57</v>
      </c>
      <c r="C137" s="13">
        <v>22.6</v>
      </c>
      <c r="D137" s="13">
        <v>21.95</v>
      </c>
      <c r="E137" s="13">
        <v>22.04</v>
      </c>
    </row>
    <row r="138" spans="1:5" x14ac:dyDescent="0.2">
      <c r="A138" s="16" t="s">
        <v>150</v>
      </c>
      <c r="B138" s="13">
        <v>22.37</v>
      </c>
      <c r="C138" s="13">
        <v>22.43</v>
      </c>
      <c r="D138" s="13">
        <v>22.13</v>
      </c>
      <c r="E138" s="13">
        <v>22.24</v>
      </c>
    </row>
    <row r="139" spans="1:5" x14ac:dyDescent="0.2">
      <c r="A139" s="16" t="s">
        <v>151</v>
      </c>
      <c r="B139" s="13">
        <v>22.23</v>
      </c>
      <c r="C139" s="13">
        <v>22.29</v>
      </c>
      <c r="D139" s="13">
        <v>22.06</v>
      </c>
      <c r="E139" s="13">
        <v>22.19</v>
      </c>
    </row>
    <row r="140" spans="1:5" x14ac:dyDescent="0.2">
      <c r="A140" s="16" t="s">
        <v>152</v>
      </c>
      <c r="B140" s="13">
        <v>22.34</v>
      </c>
      <c r="C140" s="13">
        <v>22.75</v>
      </c>
      <c r="D140" s="13">
        <v>22.22</v>
      </c>
      <c r="E140" s="13">
        <v>22.66</v>
      </c>
    </row>
    <row r="141" spans="1:5" x14ac:dyDescent="0.2">
      <c r="A141" s="16" t="s">
        <v>153</v>
      </c>
      <c r="B141" s="13">
        <v>22.78</v>
      </c>
      <c r="C141" s="13">
        <v>23.04</v>
      </c>
      <c r="D141" s="13">
        <v>22.67</v>
      </c>
      <c r="E141" s="13">
        <v>23</v>
      </c>
    </row>
    <row r="142" spans="1:5" x14ac:dyDescent="0.2">
      <c r="A142" s="16" t="s">
        <v>154</v>
      </c>
      <c r="B142" s="13">
        <v>23.01</v>
      </c>
      <c r="C142" s="13">
        <v>23.06</v>
      </c>
      <c r="D142" s="13">
        <v>22.81</v>
      </c>
      <c r="E142" s="13">
        <v>23.01</v>
      </c>
    </row>
    <row r="143" spans="1:5" x14ac:dyDescent="0.2">
      <c r="A143" s="16" t="s">
        <v>155</v>
      </c>
      <c r="B143" s="13">
        <v>21.65</v>
      </c>
      <c r="C143" s="13">
        <v>22.42</v>
      </c>
      <c r="D143" s="13">
        <v>20.98</v>
      </c>
      <c r="E143" s="13">
        <v>21.92</v>
      </c>
    </row>
    <row r="144" spans="1:5" x14ac:dyDescent="0.2">
      <c r="A144" s="16" t="s">
        <v>156</v>
      </c>
      <c r="B144" s="13">
        <v>21.89</v>
      </c>
      <c r="C144" s="13">
        <v>22.09</v>
      </c>
      <c r="D144" s="13">
        <v>21.24</v>
      </c>
      <c r="E144" s="13">
        <v>21.3</v>
      </c>
    </row>
    <row r="145" spans="1:5" x14ac:dyDescent="0.2">
      <c r="A145" s="16" t="s">
        <v>157</v>
      </c>
      <c r="B145" s="13">
        <v>21.49</v>
      </c>
      <c r="C145" s="13">
        <v>21.62</v>
      </c>
      <c r="D145" s="13">
        <v>21.26</v>
      </c>
      <c r="E145" s="13">
        <v>21.4</v>
      </c>
    </row>
    <row r="146" spans="1:5" x14ac:dyDescent="0.2">
      <c r="A146" s="16" t="s">
        <v>158</v>
      </c>
      <c r="B146" s="13">
        <v>21.63</v>
      </c>
      <c r="C146" s="13">
        <v>21.7</v>
      </c>
      <c r="D146" s="13">
        <v>21.41</v>
      </c>
      <c r="E146" s="13">
        <v>21.6</v>
      </c>
    </row>
    <row r="147" spans="1:5" x14ac:dyDescent="0.2">
      <c r="A147" s="16" t="s">
        <v>159</v>
      </c>
      <c r="B147" s="13">
        <v>21.41</v>
      </c>
      <c r="C147" s="13">
        <v>21.66</v>
      </c>
      <c r="D147" s="13">
        <v>21.25</v>
      </c>
      <c r="E147" s="13">
        <v>21.56</v>
      </c>
    </row>
    <row r="148" spans="1:5" x14ac:dyDescent="0.2">
      <c r="A148" s="16" t="s">
        <v>160</v>
      </c>
      <c r="B148" s="13">
        <v>21.68</v>
      </c>
      <c r="C148" s="13">
        <v>22.21</v>
      </c>
      <c r="D148" s="13">
        <v>21.52</v>
      </c>
      <c r="E148" s="13">
        <v>22.21</v>
      </c>
    </row>
    <row r="149" spans="1:5" x14ac:dyDescent="0.2">
      <c r="A149" s="16" t="s">
        <v>161</v>
      </c>
      <c r="B149" s="13">
        <v>22.14</v>
      </c>
      <c r="C149" s="13">
        <v>22.25</v>
      </c>
      <c r="D149" s="13">
        <v>21.66</v>
      </c>
      <c r="E149" s="13">
        <v>21.83</v>
      </c>
    </row>
    <row r="150" spans="1:5" x14ac:dyDescent="0.2">
      <c r="A150" s="16" t="s">
        <v>162</v>
      </c>
      <c r="B150" s="13">
        <v>21.42</v>
      </c>
      <c r="C150" s="13">
        <v>21.47</v>
      </c>
      <c r="D150" s="13">
        <v>21.08</v>
      </c>
      <c r="E150" s="13">
        <v>21.11</v>
      </c>
    </row>
    <row r="151" spans="1:5" x14ac:dyDescent="0.2">
      <c r="A151" s="16" t="s">
        <v>163</v>
      </c>
      <c r="B151" s="13">
        <v>20.8</v>
      </c>
      <c r="C151" s="13">
        <v>20.99</v>
      </c>
      <c r="D151" s="13">
        <v>20.260000000000002</v>
      </c>
      <c r="E151" s="13">
        <v>20.350000000000001</v>
      </c>
    </row>
    <row r="152" spans="1:5" x14ac:dyDescent="0.2">
      <c r="A152" s="16" t="s">
        <v>164</v>
      </c>
      <c r="B152" s="13">
        <v>20.3</v>
      </c>
      <c r="C152" s="13">
        <v>20.635000000000002</v>
      </c>
      <c r="D152" s="13">
        <v>20.260000000000002</v>
      </c>
      <c r="E152" s="13">
        <v>20.47</v>
      </c>
    </row>
    <row r="153" spans="1:5" x14ac:dyDescent="0.2">
      <c r="A153" s="16" t="s">
        <v>165</v>
      </c>
      <c r="B153" s="13">
        <v>20.46</v>
      </c>
      <c r="C153" s="13">
        <v>20.46</v>
      </c>
      <c r="D153" s="13">
        <v>20.260000000000002</v>
      </c>
      <c r="E153" s="13">
        <v>20.329999999999998</v>
      </c>
    </row>
    <row r="154" spans="1:5" x14ac:dyDescent="0.2">
      <c r="A154" s="16" t="s">
        <v>166</v>
      </c>
      <c r="B154" s="13">
        <v>20.25</v>
      </c>
      <c r="C154" s="13">
        <v>20.37</v>
      </c>
      <c r="D154" s="13">
        <v>20.12</v>
      </c>
      <c r="E154" s="13">
        <v>20.350000000000001</v>
      </c>
    </row>
    <row r="155" spans="1:5" x14ac:dyDescent="0.2">
      <c r="A155" s="16" t="s">
        <v>167</v>
      </c>
      <c r="B155" s="13">
        <v>20.5</v>
      </c>
      <c r="C155" s="13">
        <v>20.5</v>
      </c>
      <c r="D155" s="13">
        <v>20.100000000000001</v>
      </c>
      <c r="E155" s="13">
        <v>20.239999999999998</v>
      </c>
    </row>
    <row r="156" spans="1:5" x14ac:dyDescent="0.2">
      <c r="A156" s="16" t="s">
        <v>168</v>
      </c>
      <c r="B156" s="13">
        <v>20.399999999999999</v>
      </c>
      <c r="C156" s="13">
        <v>20.54</v>
      </c>
      <c r="D156" s="13">
        <v>20.25</v>
      </c>
      <c r="E156" s="13">
        <v>20.54</v>
      </c>
    </row>
    <row r="157" spans="1:5" x14ac:dyDescent="0.2">
      <c r="A157" s="16" t="s">
        <v>169</v>
      </c>
      <c r="B157" s="13">
        <v>20.45</v>
      </c>
      <c r="C157" s="13">
        <v>20.5</v>
      </c>
      <c r="D157" s="13">
        <v>20.149999999999999</v>
      </c>
      <c r="E157" s="13">
        <v>20.239999999999998</v>
      </c>
    </row>
    <row r="158" spans="1:5" x14ac:dyDescent="0.2">
      <c r="A158" s="16" t="s">
        <v>170</v>
      </c>
      <c r="B158" s="13">
        <v>20.5</v>
      </c>
      <c r="C158" s="13">
        <v>20.5</v>
      </c>
      <c r="D158" s="13">
        <v>20.2</v>
      </c>
      <c r="E158" s="13">
        <v>20.41</v>
      </c>
    </row>
    <row r="159" spans="1:5" x14ac:dyDescent="0.2">
      <c r="A159" s="16" t="s">
        <v>171</v>
      </c>
      <c r="B159" s="13">
        <v>20.350000000000001</v>
      </c>
      <c r="C159" s="13">
        <v>20.65</v>
      </c>
      <c r="D159" s="13">
        <v>20.28</v>
      </c>
      <c r="E159" s="13">
        <v>20.48</v>
      </c>
    </row>
    <row r="160" spans="1:5" x14ac:dyDescent="0.2">
      <c r="A160" s="16" t="s">
        <v>172</v>
      </c>
      <c r="B160" s="13">
        <v>20.63</v>
      </c>
      <c r="C160" s="13">
        <v>20.7</v>
      </c>
      <c r="D160" s="13">
        <v>20.190000000000001</v>
      </c>
      <c r="E160" s="13">
        <v>20.399999999999999</v>
      </c>
    </row>
    <row r="161" spans="1:5" x14ac:dyDescent="0.2">
      <c r="A161" s="16" t="s">
        <v>173</v>
      </c>
      <c r="B161" s="13">
        <v>20.3</v>
      </c>
      <c r="C161" s="13">
        <v>20.36</v>
      </c>
      <c r="D161" s="13">
        <v>20</v>
      </c>
      <c r="E161" s="13">
        <v>20.25</v>
      </c>
    </row>
    <row r="162" spans="1:5" x14ac:dyDescent="0.2">
      <c r="A162" s="16" t="s">
        <v>174</v>
      </c>
      <c r="B162" s="13">
        <v>20.260000000000002</v>
      </c>
      <c r="C162" s="13">
        <v>20.34</v>
      </c>
      <c r="D162" s="13">
        <v>19.98</v>
      </c>
      <c r="E162" s="13">
        <v>20.21</v>
      </c>
    </row>
    <row r="163" spans="1:5" x14ac:dyDescent="0.2">
      <c r="A163" s="16" t="s">
        <v>175</v>
      </c>
      <c r="B163" s="13">
        <v>20.09</v>
      </c>
      <c r="C163" s="13">
        <v>20.18</v>
      </c>
      <c r="D163" s="13">
        <v>19.649999999999999</v>
      </c>
      <c r="E163" s="13">
        <v>20.12</v>
      </c>
    </row>
    <row r="164" spans="1:5" x14ac:dyDescent="0.2">
      <c r="A164" s="16" t="s">
        <v>176</v>
      </c>
      <c r="B164" s="13">
        <v>20.2</v>
      </c>
      <c r="C164" s="13">
        <v>20.2</v>
      </c>
      <c r="D164" s="13">
        <v>19.600000000000001</v>
      </c>
      <c r="E164" s="13">
        <v>19.600000000000001</v>
      </c>
    </row>
    <row r="165" spans="1:5" x14ac:dyDescent="0.2">
      <c r="A165" s="16" t="s">
        <v>177</v>
      </c>
      <c r="B165" s="13">
        <v>19.64</v>
      </c>
      <c r="C165" s="13">
        <v>19.97</v>
      </c>
      <c r="D165" s="13">
        <v>19.61</v>
      </c>
      <c r="E165" s="13">
        <v>19.97</v>
      </c>
    </row>
    <row r="166" spans="1:5" x14ac:dyDescent="0.2">
      <c r="A166" s="16" t="s">
        <v>178</v>
      </c>
      <c r="B166" s="13">
        <v>20.100000000000001</v>
      </c>
      <c r="C166" s="13">
        <v>20.13</v>
      </c>
      <c r="D166" s="13">
        <v>19.47</v>
      </c>
      <c r="E166" s="13">
        <v>19.649999999999999</v>
      </c>
    </row>
    <row r="167" spans="1:5" x14ac:dyDescent="0.2">
      <c r="A167" s="16" t="s">
        <v>179</v>
      </c>
      <c r="B167" s="13">
        <v>19.43</v>
      </c>
      <c r="C167" s="13">
        <v>19.489999999999998</v>
      </c>
      <c r="D167" s="13">
        <v>19.09</v>
      </c>
      <c r="E167" s="13">
        <v>19.329999999999998</v>
      </c>
    </row>
    <row r="168" spans="1:5" x14ac:dyDescent="0.2">
      <c r="A168" s="16" t="s">
        <v>180</v>
      </c>
      <c r="B168" s="13">
        <v>19.760000000000002</v>
      </c>
      <c r="C168" s="13">
        <v>20.059999999999999</v>
      </c>
      <c r="D168" s="13">
        <v>19.32</v>
      </c>
      <c r="E168" s="13">
        <v>20.05</v>
      </c>
    </row>
    <row r="169" spans="1:5" x14ac:dyDescent="0.2">
      <c r="A169" s="16" t="s">
        <v>181</v>
      </c>
      <c r="B169" s="13">
        <v>20.420000000000002</v>
      </c>
      <c r="C169" s="13">
        <v>20.7</v>
      </c>
      <c r="D169" s="13">
        <v>20.28</v>
      </c>
      <c r="E169" s="13">
        <v>20.47</v>
      </c>
    </row>
    <row r="170" spans="1:5" x14ac:dyDescent="0.2">
      <c r="A170" s="16" t="s">
        <v>182</v>
      </c>
      <c r="B170" s="13">
        <v>20.420000000000002</v>
      </c>
      <c r="C170" s="13">
        <v>20.97</v>
      </c>
      <c r="D170" s="13">
        <v>20.3</v>
      </c>
      <c r="E170" s="13">
        <v>20.97</v>
      </c>
    </row>
    <row r="171" spans="1:5" x14ac:dyDescent="0.2">
      <c r="A171" s="16" t="s">
        <v>183</v>
      </c>
      <c r="B171" s="13">
        <v>20.88</v>
      </c>
      <c r="C171" s="13">
        <v>21.52</v>
      </c>
      <c r="D171" s="13">
        <v>20.88</v>
      </c>
      <c r="E171" s="13">
        <v>21.52</v>
      </c>
    </row>
    <row r="172" spans="1:5" x14ac:dyDescent="0.2">
      <c r="A172" s="16" t="s">
        <v>184</v>
      </c>
      <c r="B172" s="13">
        <v>21.28</v>
      </c>
      <c r="C172" s="13">
        <v>21.59</v>
      </c>
      <c r="D172" s="13">
        <v>21.2</v>
      </c>
      <c r="E172" s="13">
        <v>21.59</v>
      </c>
    </row>
    <row r="173" spans="1:5" x14ac:dyDescent="0.2">
      <c r="A173" s="16" t="s">
        <v>185</v>
      </c>
      <c r="B173" s="13">
        <v>21.35</v>
      </c>
      <c r="C173" s="13">
        <v>21.41</v>
      </c>
      <c r="D173" s="13">
        <v>21.1</v>
      </c>
      <c r="E173" s="13">
        <v>21.19</v>
      </c>
    </row>
    <row r="174" spans="1:5" x14ac:dyDescent="0.2">
      <c r="A174" s="16" t="s">
        <v>186</v>
      </c>
      <c r="B174" s="13">
        <v>21.17</v>
      </c>
      <c r="C174" s="13">
        <v>21.39</v>
      </c>
      <c r="D174" s="13">
        <v>20.95</v>
      </c>
      <c r="E174" s="13">
        <v>21.05</v>
      </c>
    </row>
    <row r="175" spans="1:5" x14ac:dyDescent="0.2">
      <c r="A175" s="16" t="s">
        <v>187</v>
      </c>
      <c r="B175" s="13">
        <v>21.06</v>
      </c>
      <c r="C175" s="13">
        <v>21.114999999999998</v>
      </c>
      <c r="D175" s="13">
        <v>20.66</v>
      </c>
      <c r="E175" s="13">
        <v>20.81</v>
      </c>
    </row>
    <row r="176" spans="1:5" x14ac:dyDescent="0.2">
      <c r="A176" s="16" t="s">
        <v>188</v>
      </c>
      <c r="B176" s="13">
        <v>20.5</v>
      </c>
      <c r="C176" s="13">
        <v>20.7</v>
      </c>
      <c r="D176" s="13">
        <v>20.350000000000001</v>
      </c>
      <c r="E176" s="13">
        <v>20.7</v>
      </c>
    </row>
    <row r="177" spans="1:5" x14ac:dyDescent="0.2">
      <c r="A177" s="16" t="s">
        <v>189</v>
      </c>
      <c r="B177" s="13">
        <v>20.81</v>
      </c>
      <c r="C177" s="13">
        <v>21.05</v>
      </c>
      <c r="D177" s="13">
        <v>20.56</v>
      </c>
      <c r="E177" s="13">
        <v>20.66</v>
      </c>
    </row>
    <row r="178" spans="1:5" x14ac:dyDescent="0.2">
      <c r="A178" s="16" t="s">
        <v>190</v>
      </c>
      <c r="B178" s="13">
        <v>20.69</v>
      </c>
      <c r="C178" s="13">
        <v>20.89</v>
      </c>
      <c r="D178" s="13">
        <v>20.420000000000002</v>
      </c>
      <c r="E178" s="13">
        <v>20.89</v>
      </c>
    </row>
    <row r="179" spans="1:5" x14ac:dyDescent="0.2">
      <c r="A179" s="16" t="s">
        <v>191</v>
      </c>
      <c r="B179" s="13">
        <v>20.98</v>
      </c>
      <c r="C179" s="13">
        <v>20.98</v>
      </c>
      <c r="D179" s="13">
        <v>20.5</v>
      </c>
      <c r="E179" s="13">
        <v>20.53</v>
      </c>
    </row>
    <row r="180" spans="1:5" x14ac:dyDescent="0.2">
      <c r="A180" s="16" t="s">
        <v>192</v>
      </c>
      <c r="B180" s="13">
        <v>20.62</v>
      </c>
      <c r="C180" s="13">
        <v>20.91</v>
      </c>
      <c r="D180" s="13">
        <v>20.55</v>
      </c>
      <c r="E180" s="13">
        <v>20.66</v>
      </c>
    </row>
    <row r="181" spans="1:5" x14ac:dyDescent="0.2">
      <c r="A181" s="16" t="s">
        <v>193</v>
      </c>
      <c r="B181" s="13">
        <v>20.75</v>
      </c>
      <c r="C181" s="13">
        <v>20.88</v>
      </c>
      <c r="D181" s="13">
        <v>20.57</v>
      </c>
      <c r="E181" s="13">
        <v>20.7</v>
      </c>
    </row>
    <row r="182" spans="1:5" x14ac:dyDescent="0.2">
      <c r="A182" s="16" t="s">
        <v>194</v>
      </c>
      <c r="B182" s="13">
        <v>20.69</v>
      </c>
      <c r="C182" s="13">
        <v>20.85</v>
      </c>
      <c r="D182" s="13">
        <v>20.46</v>
      </c>
      <c r="E182" s="13">
        <v>20.85</v>
      </c>
    </row>
    <row r="183" spans="1:5" x14ac:dyDescent="0.2">
      <c r="A183" s="16" t="s">
        <v>195</v>
      </c>
      <c r="B183" s="13">
        <v>20.47</v>
      </c>
      <c r="C183" s="13">
        <v>20.84</v>
      </c>
      <c r="D183" s="13">
        <v>20.41</v>
      </c>
      <c r="E183" s="13">
        <v>20.76</v>
      </c>
    </row>
    <row r="184" spans="1:5" x14ac:dyDescent="0.2">
      <c r="A184" s="16" t="s">
        <v>196</v>
      </c>
      <c r="B184" s="13">
        <v>20.87</v>
      </c>
      <c r="C184" s="13">
        <v>21.51</v>
      </c>
      <c r="D184" s="13">
        <v>20.63</v>
      </c>
      <c r="E184" s="13">
        <v>21.43</v>
      </c>
    </row>
    <row r="185" spans="1:5" x14ac:dyDescent="0.2">
      <c r="A185" s="16" t="s">
        <v>197</v>
      </c>
      <c r="B185" s="13">
        <v>21.4</v>
      </c>
      <c r="C185" s="13">
        <v>21.91</v>
      </c>
      <c r="D185" s="13">
        <v>21.39</v>
      </c>
      <c r="E185" s="13">
        <v>21.91</v>
      </c>
    </row>
    <row r="186" spans="1:5" x14ac:dyDescent="0.2">
      <c r="A186" s="16" t="s">
        <v>198</v>
      </c>
      <c r="B186" s="13">
        <v>21.55</v>
      </c>
      <c r="C186" s="13">
        <v>21.55</v>
      </c>
      <c r="D186" s="13">
        <v>21.2</v>
      </c>
      <c r="E186" s="13">
        <v>21.48</v>
      </c>
    </row>
    <row r="187" spans="1:5" x14ac:dyDescent="0.2">
      <c r="A187" s="16" t="s">
        <v>199</v>
      </c>
      <c r="B187" s="13">
        <v>21.48</v>
      </c>
      <c r="C187" s="13">
        <v>21.94</v>
      </c>
      <c r="D187" s="13">
        <v>21.37</v>
      </c>
      <c r="E187" s="13">
        <v>21.87</v>
      </c>
    </row>
    <row r="188" spans="1:5" x14ac:dyDescent="0.2">
      <c r="A188" s="16" t="s">
        <v>200</v>
      </c>
      <c r="B188" s="13">
        <v>21.87</v>
      </c>
      <c r="C188" s="13">
        <v>22.4</v>
      </c>
      <c r="D188" s="13">
        <v>21.72</v>
      </c>
      <c r="E188" s="13">
        <v>21.95</v>
      </c>
    </row>
    <row r="189" spans="1:5" x14ac:dyDescent="0.2">
      <c r="A189" s="16" t="s">
        <v>201</v>
      </c>
      <c r="B189" s="13">
        <v>21.95</v>
      </c>
      <c r="C189" s="13">
        <v>22.54</v>
      </c>
      <c r="D189" s="13">
        <v>21.9</v>
      </c>
      <c r="E189" s="13">
        <v>22.54</v>
      </c>
    </row>
    <row r="190" spans="1:5" x14ac:dyDescent="0.2">
      <c r="A190" s="16" t="s">
        <v>202</v>
      </c>
      <c r="B190" s="13">
        <v>22.54</v>
      </c>
      <c r="C190" s="13">
        <v>22.54</v>
      </c>
      <c r="D190" s="13">
        <v>22.31</v>
      </c>
      <c r="E190" s="13">
        <v>22.45</v>
      </c>
    </row>
    <row r="191" spans="1:5" x14ac:dyDescent="0.2">
      <c r="A191" s="16" t="s">
        <v>203</v>
      </c>
      <c r="B191" s="13">
        <v>22.41</v>
      </c>
      <c r="C191" s="13">
        <v>22.59</v>
      </c>
      <c r="D191" s="13">
        <v>22.23</v>
      </c>
      <c r="E191" s="13">
        <v>22.35</v>
      </c>
    </row>
    <row r="192" spans="1:5" x14ac:dyDescent="0.2">
      <c r="A192" s="16" t="s">
        <v>204</v>
      </c>
      <c r="B192" s="13">
        <v>22.18</v>
      </c>
      <c r="C192" s="13">
        <v>22.3</v>
      </c>
      <c r="D192" s="13">
        <v>21.94</v>
      </c>
      <c r="E192" s="13">
        <v>22.21</v>
      </c>
    </row>
    <row r="193" spans="1:5" x14ac:dyDescent="0.2">
      <c r="A193" s="16" t="s">
        <v>205</v>
      </c>
      <c r="B193" s="13">
        <v>22.1</v>
      </c>
      <c r="C193" s="13">
        <v>22.19</v>
      </c>
      <c r="D193" s="13">
        <v>21.52</v>
      </c>
      <c r="E193" s="13">
        <v>21.68</v>
      </c>
    </row>
    <row r="194" spans="1:5" x14ac:dyDescent="0.2">
      <c r="A194" s="16" t="s">
        <v>206</v>
      </c>
      <c r="B194" s="13">
        <v>21.76</v>
      </c>
      <c r="C194" s="13">
        <v>21.8</v>
      </c>
      <c r="D194" s="13">
        <v>21.53</v>
      </c>
      <c r="E194" s="13">
        <v>21.61</v>
      </c>
    </row>
    <row r="195" spans="1:5" x14ac:dyDescent="0.2">
      <c r="A195" s="16" t="s">
        <v>207</v>
      </c>
      <c r="B195" s="13">
        <v>21.5</v>
      </c>
      <c r="C195" s="13">
        <v>21.574999999999999</v>
      </c>
      <c r="D195" s="13">
        <v>21.22</v>
      </c>
      <c r="E195" s="13">
        <v>21.24</v>
      </c>
    </row>
    <row r="196" spans="1:5" x14ac:dyDescent="0.2">
      <c r="A196" s="16" t="s">
        <v>208</v>
      </c>
      <c r="B196" s="13">
        <v>21.4</v>
      </c>
      <c r="C196" s="13">
        <v>21.8</v>
      </c>
      <c r="D196" s="13">
        <v>21.15</v>
      </c>
      <c r="E196" s="13">
        <v>21.67</v>
      </c>
    </row>
    <row r="197" spans="1:5" x14ac:dyDescent="0.2">
      <c r="A197" s="16" t="s">
        <v>209</v>
      </c>
      <c r="B197" s="13">
        <v>21.4</v>
      </c>
      <c r="C197" s="13">
        <v>21.64</v>
      </c>
      <c r="D197" s="13">
        <v>21.36</v>
      </c>
      <c r="E197" s="13">
        <v>21.62</v>
      </c>
    </row>
    <row r="198" spans="1:5" x14ac:dyDescent="0.2">
      <c r="A198" s="16" t="s">
        <v>210</v>
      </c>
      <c r="B198" s="13">
        <v>21.6</v>
      </c>
      <c r="C198" s="13">
        <v>21.97</v>
      </c>
      <c r="D198" s="13">
        <v>21.53</v>
      </c>
      <c r="E198" s="13">
        <v>21.92</v>
      </c>
    </row>
    <row r="199" spans="1:5" x14ac:dyDescent="0.2">
      <c r="A199" s="16" t="s">
        <v>211</v>
      </c>
      <c r="B199" s="13">
        <v>21.99</v>
      </c>
      <c r="C199" s="13">
        <v>22.11</v>
      </c>
      <c r="D199" s="13">
        <v>21.78</v>
      </c>
      <c r="E199" s="13">
        <v>21.85</v>
      </c>
    </row>
    <row r="200" spans="1:5" x14ac:dyDescent="0.2">
      <c r="A200" s="16" t="s">
        <v>212</v>
      </c>
      <c r="B200" s="13">
        <v>21.7</v>
      </c>
      <c r="C200" s="13">
        <v>22.02</v>
      </c>
      <c r="D200" s="13">
        <v>21.68</v>
      </c>
      <c r="E200" s="13">
        <v>21.89</v>
      </c>
    </row>
    <row r="201" spans="1:5" x14ac:dyDescent="0.2">
      <c r="A201" s="16" t="s">
        <v>213</v>
      </c>
      <c r="B201" s="13">
        <v>21.85</v>
      </c>
      <c r="C201" s="13">
        <v>21.92</v>
      </c>
      <c r="D201" s="13">
        <v>21.13</v>
      </c>
      <c r="E201" s="13">
        <v>21.51</v>
      </c>
    </row>
    <row r="202" spans="1:5" x14ac:dyDescent="0.2">
      <c r="A202" s="16" t="s">
        <v>214</v>
      </c>
      <c r="B202" s="13">
        <v>21.61</v>
      </c>
      <c r="C202" s="13">
        <v>21.66</v>
      </c>
      <c r="D202" s="13">
        <v>21.385000000000002</v>
      </c>
      <c r="E202" s="13">
        <v>21.52</v>
      </c>
    </row>
    <row r="203" spans="1:5" x14ac:dyDescent="0.2">
      <c r="A203" s="16" t="s">
        <v>215</v>
      </c>
      <c r="B203" s="13">
        <v>21.41</v>
      </c>
      <c r="C203" s="13">
        <v>21.52</v>
      </c>
      <c r="D203" s="13">
        <v>21.33</v>
      </c>
      <c r="E203" s="13">
        <v>21.33</v>
      </c>
    </row>
    <row r="204" spans="1:5" x14ac:dyDescent="0.2">
      <c r="A204" s="16" t="s">
        <v>216</v>
      </c>
      <c r="B204" s="13">
        <v>21.6</v>
      </c>
      <c r="C204" s="13">
        <v>21.68</v>
      </c>
      <c r="D204" s="13">
        <v>21.36</v>
      </c>
      <c r="E204" s="13">
        <v>21.62</v>
      </c>
    </row>
    <row r="205" spans="1:5" x14ac:dyDescent="0.2">
      <c r="A205" s="16" t="s">
        <v>217</v>
      </c>
      <c r="B205" s="13">
        <v>19.760000000000002</v>
      </c>
      <c r="C205" s="13">
        <v>19.899999999999999</v>
      </c>
      <c r="D205" s="13">
        <v>17.100000000000001</v>
      </c>
      <c r="E205" s="13">
        <v>17.2</v>
      </c>
    </row>
    <row r="206" spans="1:5" x14ac:dyDescent="0.2">
      <c r="A206" s="16" t="s">
        <v>218</v>
      </c>
      <c r="B206" s="13">
        <v>17.239999999999998</v>
      </c>
      <c r="C206" s="13">
        <v>17.78</v>
      </c>
      <c r="D206" s="13">
        <v>17.239999999999998</v>
      </c>
      <c r="E206" s="13">
        <v>17.309999999999999</v>
      </c>
    </row>
    <row r="207" spans="1:5" x14ac:dyDescent="0.2">
      <c r="A207" s="16" t="s">
        <v>219</v>
      </c>
      <c r="B207" s="13">
        <v>17.350000000000001</v>
      </c>
      <c r="C207" s="13">
        <v>17.45</v>
      </c>
      <c r="D207" s="13">
        <v>16.785</v>
      </c>
      <c r="E207" s="13">
        <v>16.87</v>
      </c>
    </row>
    <row r="208" spans="1:5" x14ac:dyDescent="0.2">
      <c r="A208" s="16" t="s">
        <v>220</v>
      </c>
      <c r="B208" s="13">
        <v>17.02</v>
      </c>
      <c r="C208" s="13">
        <v>17.32</v>
      </c>
      <c r="D208" s="13">
        <v>16.37</v>
      </c>
      <c r="E208" s="13">
        <v>16.37</v>
      </c>
    </row>
    <row r="209" spans="1:5" x14ac:dyDescent="0.2">
      <c r="A209" s="16" t="s">
        <v>221</v>
      </c>
      <c r="B209" s="13">
        <v>16.38</v>
      </c>
      <c r="C209" s="13">
        <v>16.54</v>
      </c>
      <c r="D209" s="13">
        <v>15.86</v>
      </c>
      <c r="E209" s="13">
        <v>15.86</v>
      </c>
    </row>
    <row r="210" spans="1:5" x14ac:dyDescent="0.2">
      <c r="A210" s="16" t="s">
        <v>222</v>
      </c>
      <c r="B210" s="13">
        <v>16.04</v>
      </c>
      <c r="C210" s="13">
        <v>16.489999999999998</v>
      </c>
      <c r="D210" s="13">
        <v>15.89</v>
      </c>
      <c r="E210" s="13">
        <v>15.89</v>
      </c>
    </row>
    <row r="211" spans="1:5" x14ac:dyDescent="0.2">
      <c r="A211" s="16" t="s">
        <v>223</v>
      </c>
      <c r="B211" s="13">
        <v>16.02</v>
      </c>
      <c r="C211" s="13">
        <v>16.079999999999998</v>
      </c>
      <c r="D211" s="13">
        <v>15.6</v>
      </c>
      <c r="E211" s="13">
        <v>15.68</v>
      </c>
    </row>
    <row r="212" spans="1:5" x14ac:dyDescent="0.2">
      <c r="A212" s="16" t="s">
        <v>224</v>
      </c>
      <c r="B212" s="13">
        <v>15.8</v>
      </c>
      <c r="C212" s="13">
        <v>15.95</v>
      </c>
      <c r="D212" s="13">
        <v>15.67</v>
      </c>
      <c r="E212" s="13">
        <v>15.67</v>
      </c>
    </row>
    <row r="213" spans="1:5" x14ac:dyDescent="0.2">
      <c r="A213" s="16" t="s">
        <v>225</v>
      </c>
      <c r="B213" s="13">
        <v>15.72</v>
      </c>
      <c r="C213" s="13">
        <v>16.010000000000002</v>
      </c>
      <c r="D213" s="13">
        <v>15.72</v>
      </c>
      <c r="E213" s="13">
        <v>15.9</v>
      </c>
    </row>
    <row r="214" spans="1:5" x14ac:dyDescent="0.2">
      <c r="A214" s="16" t="s">
        <v>226</v>
      </c>
      <c r="B214" s="13">
        <v>15.92</v>
      </c>
      <c r="C214" s="13">
        <v>16.18</v>
      </c>
      <c r="D214" s="13">
        <v>15.82</v>
      </c>
      <c r="E214" s="13">
        <v>15.98</v>
      </c>
    </row>
    <row r="215" spans="1:5" x14ac:dyDescent="0.2">
      <c r="A215" s="16" t="s">
        <v>227</v>
      </c>
      <c r="B215" s="13">
        <v>15.88</v>
      </c>
      <c r="C215" s="13">
        <v>15.94</v>
      </c>
      <c r="D215" s="13">
        <v>15.62</v>
      </c>
      <c r="E215" s="13">
        <v>15.73</v>
      </c>
    </row>
    <row r="216" spans="1:5" x14ac:dyDescent="0.2">
      <c r="A216" s="16" t="s">
        <v>228</v>
      </c>
      <c r="B216" s="13">
        <v>15.75</v>
      </c>
      <c r="C216" s="13">
        <v>15.75</v>
      </c>
      <c r="D216" s="13">
        <v>15.45</v>
      </c>
      <c r="E216" s="13">
        <v>15.53</v>
      </c>
    </row>
    <row r="217" spans="1:5" x14ac:dyDescent="0.2">
      <c r="A217" s="16" t="s">
        <v>229</v>
      </c>
      <c r="B217" s="13">
        <v>15.58</v>
      </c>
      <c r="C217" s="13">
        <v>15.65</v>
      </c>
      <c r="D217" s="13">
        <v>15.43</v>
      </c>
      <c r="E217" s="13">
        <v>15.65</v>
      </c>
    </row>
    <row r="218" spans="1:5" x14ac:dyDescent="0.2">
      <c r="A218" s="16" t="s">
        <v>230</v>
      </c>
      <c r="B218" s="13">
        <v>15.67</v>
      </c>
      <c r="C218" s="13">
        <v>15.88</v>
      </c>
      <c r="D218" s="13">
        <v>15.6</v>
      </c>
      <c r="E218" s="13">
        <v>15.8</v>
      </c>
    </row>
    <row r="219" spans="1:5" x14ac:dyDescent="0.2">
      <c r="A219" s="16" t="s">
        <v>231</v>
      </c>
      <c r="B219" s="13">
        <v>15.9</v>
      </c>
      <c r="C219" s="13">
        <v>16.14</v>
      </c>
      <c r="D219" s="13">
        <v>15.73</v>
      </c>
      <c r="E219" s="13">
        <v>16.12</v>
      </c>
    </row>
    <row r="220" spans="1:5" x14ac:dyDescent="0.2">
      <c r="A220" s="16" t="s">
        <v>232</v>
      </c>
      <c r="B220" s="13">
        <v>16.2</v>
      </c>
      <c r="C220" s="13">
        <v>16.37</v>
      </c>
      <c r="D220" s="13">
        <v>16.02</v>
      </c>
      <c r="E220" s="13">
        <v>16.25</v>
      </c>
    </row>
    <row r="221" spans="1:5" x14ac:dyDescent="0.2">
      <c r="A221" s="16" t="s">
        <v>233</v>
      </c>
      <c r="B221" s="13">
        <v>16.28</v>
      </c>
      <c r="C221" s="13">
        <v>16.52</v>
      </c>
      <c r="D221" s="13">
        <v>16.25</v>
      </c>
      <c r="E221" s="13">
        <v>16.3</v>
      </c>
    </row>
    <row r="222" spans="1:5" x14ac:dyDescent="0.2">
      <c r="A222" s="16" t="s">
        <v>234</v>
      </c>
      <c r="B222" s="13">
        <v>16.38</v>
      </c>
      <c r="C222" s="13">
        <v>16.52</v>
      </c>
      <c r="D222" s="13">
        <v>16.12</v>
      </c>
      <c r="E222" s="13">
        <v>16.43</v>
      </c>
    </row>
    <row r="223" spans="1:5" x14ac:dyDescent="0.2">
      <c r="A223" s="16" t="s">
        <v>235</v>
      </c>
      <c r="B223" s="13">
        <v>16.3</v>
      </c>
      <c r="C223" s="13">
        <v>16.64</v>
      </c>
      <c r="D223" s="13">
        <v>16.239999999999998</v>
      </c>
      <c r="E223" s="13">
        <v>16.63</v>
      </c>
    </row>
    <row r="224" spans="1:5" x14ac:dyDescent="0.2">
      <c r="A224" s="16" t="s">
        <v>236</v>
      </c>
      <c r="B224" s="13">
        <v>16.47</v>
      </c>
      <c r="C224" s="13">
        <v>17.52</v>
      </c>
      <c r="D224" s="13">
        <v>16.47</v>
      </c>
      <c r="E224" s="13">
        <v>17.39</v>
      </c>
    </row>
    <row r="225" spans="1:5" x14ac:dyDescent="0.2">
      <c r="A225" s="16" t="s">
        <v>237</v>
      </c>
      <c r="B225" s="13">
        <v>17.3</v>
      </c>
      <c r="C225" s="13">
        <v>17.7</v>
      </c>
      <c r="D225" s="13">
        <v>17.25</v>
      </c>
      <c r="E225" s="13">
        <v>17.329999999999998</v>
      </c>
    </row>
    <row r="226" spans="1:5" x14ac:dyDescent="0.2">
      <c r="A226" s="16" t="s">
        <v>238</v>
      </c>
      <c r="B226" s="13">
        <v>17.32</v>
      </c>
      <c r="C226" s="13">
        <v>17.38</v>
      </c>
      <c r="D226" s="13">
        <v>17.100000000000001</v>
      </c>
      <c r="E226" s="13">
        <v>17.16</v>
      </c>
    </row>
    <row r="227" spans="1:5" x14ac:dyDescent="0.2">
      <c r="A227" s="16" t="s">
        <v>239</v>
      </c>
      <c r="B227" s="13">
        <v>17.079999999999998</v>
      </c>
      <c r="C227" s="13">
        <v>17.54</v>
      </c>
      <c r="D227" s="13">
        <v>17.05</v>
      </c>
      <c r="E227" s="13">
        <v>17.48</v>
      </c>
    </row>
    <row r="228" spans="1:5" x14ac:dyDescent="0.2">
      <c r="A228" s="16" t="s">
        <v>240</v>
      </c>
      <c r="B228" s="13">
        <v>17.329999999999998</v>
      </c>
      <c r="C228" s="13">
        <v>17.45</v>
      </c>
      <c r="D228" s="13">
        <v>17.21</v>
      </c>
      <c r="E228" s="13">
        <v>17.21</v>
      </c>
    </row>
    <row r="229" spans="1:5" x14ac:dyDescent="0.2">
      <c r="A229" s="16" t="s">
        <v>241</v>
      </c>
      <c r="B229" s="13">
        <v>17.2</v>
      </c>
      <c r="C229" s="13">
        <v>17.3</v>
      </c>
      <c r="D229" s="13">
        <v>16.760000000000002</v>
      </c>
      <c r="E229" s="13">
        <v>16.98</v>
      </c>
    </row>
    <row r="230" spans="1:5" x14ac:dyDescent="0.2">
      <c r="A230" s="16" t="s">
        <v>242</v>
      </c>
      <c r="B230" s="13">
        <v>17.010000000000002</v>
      </c>
      <c r="C230" s="13">
        <v>17.18</v>
      </c>
      <c r="D230" s="13">
        <v>16.98</v>
      </c>
      <c r="E230" s="13">
        <v>17</v>
      </c>
    </row>
    <row r="231" spans="1:5" x14ac:dyDescent="0.2">
      <c r="A231" s="16" t="s">
        <v>243</v>
      </c>
      <c r="B231" s="13">
        <v>17.170000000000002</v>
      </c>
      <c r="C231" s="13">
        <v>17.22</v>
      </c>
      <c r="D231" s="13">
        <v>16.93</v>
      </c>
      <c r="E231" s="13">
        <v>16.93</v>
      </c>
    </row>
    <row r="232" spans="1:5" x14ac:dyDescent="0.2">
      <c r="A232" s="16" t="s">
        <v>244</v>
      </c>
      <c r="B232" s="13">
        <v>17.04</v>
      </c>
      <c r="C232" s="13">
        <v>17.05</v>
      </c>
      <c r="D232" s="13">
        <v>16.670000000000002</v>
      </c>
      <c r="E232" s="13">
        <v>16.7</v>
      </c>
    </row>
    <row r="233" spans="1:5" x14ac:dyDescent="0.2">
      <c r="A233" s="16" t="s">
        <v>245</v>
      </c>
      <c r="B233" s="13">
        <v>17.03</v>
      </c>
      <c r="C233" s="13">
        <v>17.45</v>
      </c>
      <c r="D233" s="13">
        <v>16.940000000000001</v>
      </c>
      <c r="E233" s="13">
        <v>17.13</v>
      </c>
    </row>
    <row r="234" spans="1:5" x14ac:dyDescent="0.2">
      <c r="A234" s="16" t="s">
        <v>246</v>
      </c>
      <c r="B234" s="13">
        <v>17.13</v>
      </c>
      <c r="C234" s="13">
        <v>17.59</v>
      </c>
      <c r="D234" s="13">
        <v>17.12</v>
      </c>
      <c r="E234" s="13">
        <v>17.39</v>
      </c>
    </row>
    <row r="235" spans="1:5" x14ac:dyDescent="0.2">
      <c r="A235" s="16" t="s">
        <v>247</v>
      </c>
      <c r="B235" s="13">
        <v>17.48</v>
      </c>
      <c r="C235" s="13">
        <v>17.62</v>
      </c>
      <c r="D235" s="13">
        <v>17.309999999999999</v>
      </c>
      <c r="E235" s="13">
        <v>17.510000000000002</v>
      </c>
    </row>
    <row r="236" spans="1:5" x14ac:dyDescent="0.2">
      <c r="A236" s="16" t="s">
        <v>248</v>
      </c>
      <c r="B236" s="13">
        <v>17.53</v>
      </c>
      <c r="C236" s="13">
        <v>17.600000000000001</v>
      </c>
      <c r="D236" s="13">
        <v>17.27</v>
      </c>
      <c r="E236" s="13">
        <v>17.329999999999998</v>
      </c>
    </row>
    <row r="237" spans="1:5" x14ac:dyDescent="0.2">
      <c r="A237" s="16" t="s">
        <v>249</v>
      </c>
      <c r="B237" s="13">
        <v>17.43</v>
      </c>
      <c r="C237" s="13">
        <v>17.5</v>
      </c>
      <c r="D237" s="13">
        <v>17.059999999999999</v>
      </c>
      <c r="E237" s="13">
        <v>17.059999999999999</v>
      </c>
    </row>
    <row r="238" spans="1:5" x14ac:dyDescent="0.2">
      <c r="A238" s="16" t="s">
        <v>250</v>
      </c>
      <c r="B238" s="13">
        <v>17.059999999999999</v>
      </c>
      <c r="C238" s="13">
        <v>17.16</v>
      </c>
      <c r="D238" s="13">
        <v>16.98</v>
      </c>
      <c r="E238" s="13">
        <v>17</v>
      </c>
    </row>
    <row r="239" spans="1:5" x14ac:dyDescent="0.2">
      <c r="A239" s="16" t="s">
        <v>251</v>
      </c>
      <c r="B239" s="13">
        <v>17.05</v>
      </c>
      <c r="C239" s="13">
        <v>17.11</v>
      </c>
      <c r="D239" s="13">
        <v>16.850000000000001</v>
      </c>
      <c r="E239" s="13">
        <v>16.87</v>
      </c>
    </row>
    <row r="240" spans="1:5" x14ac:dyDescent="0.2">
      <c r="A240" s="16" t="s">
        <v>252</v>
      </c>
      <c r="B240" s="13">
        <v>16.72</v>
      </c>
      <c r="C240" s="13">
        <v>16.96</v>
      </c>
      <c r="D240" s="13">
        <v>16.579999999999998</v>
      </c>
      <c r="E240" s="13">
        <v>16.920000000000002</v>
      </c>
    </row>
    <row r="241" spans="1:5" x14ac:dyDescent="0.2">
      <c r="A241" s="16" t="s">
        <v>253</v>
      </c>
      <c r="B241" s="13">
        <v>16.7</v>
      </c>
      <c r="C241" s="13">
        <v>16.82</v>
      </c>
      <c r="D241" s="13">
        <v>16.57</v>
      </c>
      <c r="E241" s="13">
        <v>16.690000000000001</v>
      </c>
    </row>
    <row r="242" spans="1:5" x14ac:dyDescent="0.2">
      <c r="A242" s="16" t="s">
        <v>254</v>
      </c>
      <c r="B242" s="13">
        <v>16.670000000000002</v>
      </c>
      <c r="C242" s="13">
        <v>16.670000000000002</v>
      </c>
      <c r="D242" s="13">
        <v>16.399999999999999</v>
      </c>
      <c r="E242" s="13">
        <v>16.399999999999999</v>
      </c>
    </row>
    <row r="243" spans="1:5" x14ac:dyDescent="0.2">
      <c r="A243" s="16" t="s">
        <v>255</v>
      </c>
      <c r="B243" s="13">
        <v>16.45</v>
      </c>
      <c r="C243" s="13">
        <v>16.53</v>
      </c>
      <c r="D243" s="13">
        <v>16.23</v>
      </c>
      <c r="E243" s="13">
        <v>16.23</v>
      </c>
    </row>
    <row r="244" spans="1:5" x14ac:dyDescent="0.2">
      <c r="A244" s="16" t="s">
        <v>256</v>
      </c>
      <c r="B244" s="13">
        <v>16.23</v>
      </c>
      <c r="C244" s="13">
        <v>16.45</v>
      </c>
      <c r="D244" s="13">
        <v>16.149999999999999</v>
      </c>
      <c r="E244" s="13">
        <v>16.149999999999999</v>
      </c>
    </row>
    <row r="245" spans="1:5" x14ac:dyDescent="0.2">
      <c r="A245" s="16" t="s">
        <v>257</v>
      </c>
      <c r="B245" s="13">
        <v>16.100000000000001</v>
      </c>
      <c r="C245" s="13">
        <v>16.41</v>
      </c>
      <c r="D245" s="13">
        <v>16.010000000000002</v>
      </c>
      <c r="E245" s="13">
        <v>16.36</v>
      </c>
    </row>
    <row r="246" spans="1:5" x14ac:dyDescent="0.2">
      <c r="A246" s="16" t="s">
        <v>258</v>
      </c>
      <c r="B246" s="13">
        <v>16.45</v>
      </c>
      <c r="C246" s="13">
        <v>16.63</v>
      </c>
      <c r="D246" s="13">
        <v>16.38</v>
      </c>
      <c r="E246" s="13">
        <v>16.47</v>
      </c>
    </row>
    <row r="247" spans="1:5" x14ac:dyDescent="0.2">
      <c r="A247" s="16" t="s">
        <v>259</v>
      </c>
      <c r="B247" s="13">
        <v>16.3</v>
      </c>
      <c r="C247" s="13">
        <v>16.760000000000002</v>
      </c>
      <c r="D247" s="13">
        <v>16.3</v>
      </c>
      <c r="E247" s="13">
        <v>16.649999999999999</v>
      </c>
    </row>
    <row r="248" spans="1:5" x14ac:dyDescent="0.2">
      <c r="A248" s="16" t="s">
        <v>260</v>
      </c>
      <c r="B248" s="13">
        <v>16.55</v>
      </c>
      <c r="C248" s="13">
        <v>16.829999999999998</v>
      </c>
      <c r="D248" s="13">
        <v>16.350000000000001</v>
      </c>
      <c r="E248" s="13">
        <v>16.52</v>
      </c>
    </row>
    <row r="249" spans="1:5" x14ac:dyDescent="0.2">
      <c r="A249" s="16" t="s">
        <v>261</v>
      </c>
      <c r="B249" s="13">
        <v>16.5</v>
      </c>
      <c r="C249" s="13">
        <v>16.605</v>
      </c>
      <c r="D249" s="13">
        <v>16.215</v>
      </c>
      <c r="E249" s="13">
        <v>16.3</v>
      </c>
    </row>
    <row r="250" spans="1:5" x14ac:dyDescent="0.2">
      <c r="A250" s="16" t="s">
        <v>262</v>
      </c>
      <c r="B250" s="13">
        <v>16.420000000000002</v>
      </c>
      <c r="C250" s="13">
        <v>16.420000000000002</v>
      </c>
      <c r="D250" s="13">
        <v>16.11</v>
      </c>
      <c r="E250" s="13">
        <v>16.239999999999998</v>
      </c>
    </row>
    <row r="251" spans="1:5" x14ac:dyDescent="0.2">
      <c r="A251" s="16" t="s">
        <v>263</v>
      </c>
      <c r="B251" s="13">
        <v>16.239999999999998</v>
      </c>
      <c r="C251" s="13">
        <v>16.489999999999998</v>
      </c>
      <c r="D251" s="13">
        <v>16.239999999999998</v>
      </c>
      <c r="E251" s="13">
        <v>16.489999999999998</v>
      </c>
    </row>
    <row r="252" spans="1:5" x14ac:dyDescent="0.2">
      <c r="A252" s="16" t="s">
        <v>264</v>
      </c>
      <c r="B252" s="13">
        <v>16.440000000000001</v>
      </c>
      <c r="C252" s="13">
        <v>16.54</v>
      </c>
      <c r="D252" s="13">
        <v>16.41</v>
      </c>
      <c r="E252" s="13">
        <v>16.45</v>
      </c>
    </row>
    <row r="253" spans="1:5" x14ac:dyDescent="0.2">
      <c r="A253" s="16" t="s">
        <v>265</v>
      </c>
      <c r="B253" s="13">
        <v>16.48</v>
      </c>
      <c r="C253" s="13">
        <v>16.760000000000002</v>
      </c>
      <c r="D253" s="13">
        <v>16.440000000000001</v>
      </c>
      <c r="E253" s="13">
        <v>16.72</v>
      </c>
    </row>
    <row r="254" spans="1:5" x14ac:dyDescent="0.2">
      <c r="A254" s="16" t="s">
        <v>266</v>
      </c>
      <c r="B254" s="13">
        <v>16.7</v>
      </c>
      <c r="C254" s="13">
        <v>16.71</v>
      </c>
      <c r="D254" s="13">
        <v>16.515000000000001</v>
      </c>
      <c r="E254" s="13">
        <v>16.71</v>
      </c>
    </row>
    <row r="255" spans="1:5" x14ac:dyDescent="0.2">
      <c r="A255" s="16" t="s">
        <v>267</v>
      </c>
      <c r="B255" s="13">
        <v>16.600000000000001</v>
      </c>
      <c r="C255" s="13">
        <v>16.77</v>
      </c>
      <c r="D255" s="13">
        <v>16.559999999999999</v>
      </c>
      <c r="E255" s="13">
        <v>16.68</v>
      </c>
    </row>
  </sheetData>
  <autoFilter ref="A1:A255" xr:uid="{B4BAC4E6-0E39-B84F-8013-4D870A25F13F}"/>
  <sortState xmlns:xlrd2="http://schemas.microsoft.com/office/spreadsheetml/2017/richdata2" ref="A2:E255">
    <sortCondition ref="A2:A25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6B55-034C-0E44-8B36-7EAA20290C66}">
  <dimension ref="A1:F255"/>
  <sheetViews>
    <sheetView zoomScale="90" zoomScaleNormal="90" workbookViewId="0">
      <selection activeCell="F5" sqref="F5"/>
    </sheetView>
  </sheetViews>
  <sheetFormatPr baseColWidth="10" defaultColWidth="11.5" defaultRowHeight="18" x14ac:dyDescent="0.2"/>
  <cols>
    <col min="1" max="1" width="13.1640625" style="16" bestFit="1" customWidth="1"/>
    <col min="2" max="2" width="18" style="18" bestFit="1" customWidth="1"/>
    <col min="3" max="3" width="27" style="18" bestFit="1" customWidth="1"/>
    <col min="5" max="6" width="13.6640625" bestFit="1" customWidth="1"/>
  </cols>
  <sheetData>
    <row r="1" spans="1:6" ht="19" x14ac:dyDescent="0.25">
      <c r="A1" s="15" t="s">
        <v>2</v>
      </c>
      <c r="B1" s="10" t="s">
        <v>9</v>
      </c>
      <c r="C1" s="10" t="s">
        <v>8</v>
      </c>
      <c r="E1" s="4"/>
      <c r="F1" s="4"/>
    </row>
    <row r="2" spans="1:6" x14ac:dyDescent="0.2">
      <c r="A2" s="16" t="s">
        <v>14</v>
      </c>
      <c r="B2" s="13">
        <v>219496767</v>
      </c>
      <c r="C2" s="13">
        <v>4488.71</v>
      </c>
      <c r="E2" s="4"/>
      <c r="F2" s="4"/>
    </row>
    <row r="3" spans="1:6" x14ac:dyDescent="0.2">
      <c r="A3" s="16" t="s">
        <v>15</v>
      </c>
      <c r="B3" s="13">
        <v>219496767</v>
      </c>
      <c r="C3" s="13">
        <v>4460.17</v>
      </c>
    </row>
    <row r="4" spans="1:6" x14ac:dyDescent="0.2">
      <c r="A4" s="16" t="s">
        <v>16</v>
      </c>
      <c r="B4" s="13">
        <v>219496767</v>
      </c>
      <c r="C4" s="13">
        <v>4394.33</v>
      </c>
    </row>
    <row r="5" spans="1:6" x14ac:dyDescent="0.2">
      <c r="A5" s="16" t="s">
        <v>17</v>
      </c>
      <c r="B5" s="13">
        <v>219496767</v>
      </c>
      <c r="C5" s="13">
        <v>4385.55</v>
      </c>
    </row>
    <row r="6" spans="1:6" x14ac:dyDescent="0.2">
      <c r="A6" s="16" t="s">
        <v>18</v>
      </c>
      <c r="B6" s="13">
        <v>219525079</v>
      </c>
      <c r="C6" s="13">
        <v>4359.7700000000004</v>
      </c>
    </row>
    <row r="7" spans="1:6" x14ac:dyDescent="0.2">
      <c r="A7" s="16" t="s">
        <v>19</v>
      </c>
      <c r="B7" s="13">
        <v>219525079</v>
      </c>
      <c r="C7" s="13">
        <v>4476.12</v>
      </c>
    </row>
    <row r="8" spans="1:6" x14ac:dyDescent="0.2">
      <c r="A8" s="16" t="s">
        <v>20</v>
      </c>
      <c r="B8" s="13">
        <v>219525079</v>
      </c>
      <c r="C8" s="13">
        <v>4513.4399999999996</v>
      </c>
    </row>
    <row r="9" spans="1:6" x14ac:dyDescent="0.2">
      <c r="A9" s="16" t="s">
        <v>21</v>
      </c>
      <c r="B9" s="13">
        <v>219525079</v>
      </c>
      <c r="C9" s="13">
        <v>4544.17</v>
      </c>
    </row>
    <row r="10" spans="1:6" x14ac:dyDescent="0.2">
      <c r="A10" s="16" t="s">
        <v>22</v>
      </c>
      <c r="B10" s="13">
        <v>219525079</v>
      </c>
      <c r="C10" s="13">
        <v>4484.8999999999996</v>
      </c>
    </row>
    <row r="11" spans="1:6" x14ac:dyDescent="0.2">
      <c r="A11" s="16" t="s">
        <v>23</v>
      </c>
      <c r="B11" s="13">
        <v>219525079</v>
      </c>
      <c r="C11" s="13">
        <v>4511.24</v>
      </c>
    </row>
    <row r="12" spans="1:6" x14ac:dyDescent="0.2">
      <c r="A12" s="16" t="s">
        <v>24</v>
      </c>
      <c r="B12" s="13">
        <v>219525079</v>
      </c>
      <c r="C12" s="13">
        <v>4511.24</v>
      </c>
    </row>
    <row r="13" spans="1:6" x14ac:dyDescent="0.2">
      <c r="A13" s="16" t="s">
        <v>25</v>
      </c>
      <c r="B13" s="13">
        <v>219525079</v>
      </c>
      <c r="C13" s="13">
        <v>4500.26</v>
      </c>
    </row>
    <row r="14" spans="1:6" x14ac:dyDescent="0.2">
      <c r="A14" s="16" t="s">
        <v>26</v>
      </c>
      <c r="B14" s="13">
        <v>219525079</v>
      </c>
      <c r="C14" s="13">
        <v>4528.8</v>
      </c>
    </row>
    <row r="15" spans="1:6" x14ac:dyDescent="0.2">
      <c r="A15" s="16" t="s">
        <v>27</v>
      </c>
      <c r="B15" s="13">
        <v>219525079</v>
      </c>
      <c r="C15" s="13">
        <v>4616.6099999999997</v>
      </c>
    </row>
    <row r="16" spans="1:6" x14ac:dyDescent="0.2">
      <c r="A16" s="16" t="s">
        <v>28</v>
      </c>
      <c r="B16" s="13">
        <v>219525079</v>
      </c>
      <c r="C16" s="13">
        <v>4642.96</v>
      </c>
    </row>
    <row r="17" spans="1:3" x14ac:dyDescent="0.2">
      <c r="A17" s="16" t="s">
        <v>29</v>
      </c>
      <c r="B17" s="13">
        <v>219525079</v>
      </c>
      <c r="C17" s="13">
        <v>4627.59</v>
      </c>
    </row>
    <row r="18" spans="1:3" x14ac:dyDescent="0.2">
      <c r="A18" s="16" t="s">
        <v>30</v>
      </c>
      <c r="B18" s="13">
        <v>219525079</v>
      </c>
      <c r="C18" s="13">
        <v>4618.8100000000004</v>
      </c>
    </row>
    <row r="19" spans="1:3" x14ac:dyDescent="0.2">
      <c r="A19" s="16" t="s">
        <v>31</v>
      </c>
      <c r="B19" s="13">
        <v>219525079</v>
      </c>
      <c r="C19" s="13">
        <v>4612.22</v>
      </c>
    </row>
    <row r="20" spans="1:3" x14ac:dyDescent="0.2">
      <c r="A20" s="16" t="s">
        <v>32</v>
      </c>
      <c r="B20" s="13">
        <v>219525079</v>
      </c>
      <c r="C20" s="13">
        <v>4649.54</v>
      </c>
    </row>
    <row r="21" spans="1:3" x14ac:dyDescent="0.2">
      <c r="A21" s="16" t="s">
        <v>33</v>
      </c>
      <c r="B21" s="13">
        <v>219525079</v>
      </c>
      <c r="C21" s="13">
        <v>4618.8100000000004</v>
      </c>
    </row>
    <row r="22" spans="1:3" x14ac:dyDescent="0.2">
      <c r="A22" s="16" t="s">
        <v>34</v>
      </c>
      <c r="B22" s="13">
        <v>219525079</v>
      </c>
      <c r="C22" s="13">
        <v>4673.6899999999996</v>
      </c>
    </row>
    <row r="23" spans="1:3" x14ac:dyDescent="0.2">
      <c r="A23" s="16" t="s">
        <v>35</v>
      </c>
      <c r="B23" s="13">
        <v>219525079</v>
      </c>
      <c r="C23" s="13">
        <v>4673.6899999999996</v>
      </c>
    </row>
    <row r="24" spans="1:3" x14ac:dyDescent="0.2">
      <c r="A24" s="16" t="s">
        <v>36</v>
      </c>
      <c r="B24" s="13">
        <v>219525079</v>
      </c>
      <c r="C24" s="13">
        <v>4735.16</v>
      </c>
    </row>
    <row r="25" spans="1:3" x14ac:dyDescent="0.2">
      <c r="A25" s="16" t="s">
        <v>37</v>
      </c>
      <c r="B25" s="13">
        <v>219525079</v>
      </c>
      <c r="C25" s="13">
        <v>4741.74</v>
      </c>
    </row>
    <row r="26" spans="1:3" x14ac:dyDescent="0.2">
      <c r="A26" s="16" t="s">
        <v>38</v>
      </c>
      <c r="B26" s="13">
        <v>219525079</v>
      </c>
      <c r="C26" s="13">
        <v>4781.26</v>
      </c>
    </row>
    <row r="27" spans="1:3" x14ac:dyDescent="0.2">
      <c r="A27" s="16" t="s">
        <v>39</v>
      </c>
      <c r="B27" s="13">
        <v>219557921</v>
      </c>
      <c r="C27" s="13">
        <v>4797.34</v>
      </c>
    </row>
    <row r="28" spans="1:3" x14ac:dyDescent="0.2">
      <c r="A28" s="16" t="s">
        <v>40</v>
      </c>
      <c r="B28" s="13">
        <v>219557921</v>
      </c>
      <c r="C28" s="13">
        <v>4770.99</v>
      </c>
    </row>
    <row r="29" spans="1:3" x14ac:dyDescent="0.2">
      <c r="A29" s="16" t="s">
        <v>41</v>
      </c>
      <c r="B29" s="13">
        <v>219557921</v>
      </c>
      <c r="C29" s="13">
        <v>4733.67</v>
      </c>
    </row>
    <row r="30" spans="1:3" x14ac:dyDescent="0.2">
      <c r="A30" s="16" t="s">
        <v>42</v>
      </c>
      <c r="B30" s="13">
        <v>219557921</v>
      </c>
      <c r="C30" s="13">
        <v>4716.1000000000004</v>
      </c>
    </row>
    <row r="31" spans="1:3" x14ac:dyDescent="0.2">
      <c r="A31" s="16" t="s">
        <v>43</v>
      </c>
      <c r="B31" s="13">
        <v>219557921</v>
      </c>
      <c r="C31" s="13">
        <v>4691.95</v>
      </c>
    </row>
    <row r="32" spans="1:3" x14ac:dyDescent="0.2">
      <c r="A32" s="16" t="s">
        <v>44</v>
      </c>
      <c r="B32" s="13">
        <v>219557921</v>
      </c>
      <c r="C32" s="13">
        <v>4691.95</v>
      </c>
    </row>
    <row r="33" spans="1:3" x14ac:dyDescent="0.2">
      <c r="A33" s="16" t="s">
        <v>45</v>
      </c>
      <c r="B33" s="13">
        <v>219557921</v>
      </c>
      <c r="C33" s="13">
        <v>4779.78</v>
      </c>
    </row>
    <row r="34" spans="1:3" x14ac:dyDescent="0.2">
      <c r="A34" s="16" t="s">
        <v>46</v>
      </c>
      <c r="B34" s="13">
        <v>219557921</v>
      </c>
      <c r="C34" s="13">
        <v>4770.99</v>
      </c>
    </row>
    <row r="35" spans="1:3" x14ac:dyDescent="0.2">
      <c r="A35" s="16" t="s">
        <v>47</v>
      </c>
      <c r="B35" s="13">
        <v>219557921</v>
      </c>
      <c r="C35" s="13">
        <v>4764.41</v>
      </c>
    </row>
    <row r="36" spans="1:3" x14ac:dyDescent="0.2">
      <c r="A36" s="16" t="s">
        <v>48</v>
      </c>
      <c r="B36" s="13">
        <v>219557921</v>
      </c>
      <c r="C36" s="13">
        <v>4770.99</v>
      </c>
    </row>
    <row r="37" spans="1:3" x14ac:dyDescent="0.2">
      <c r="A37" s="16" t="s">
        <v>49</v>
      </c>
      <c r="B37" s="13">
        <v>219557921</v>
      </c>
      <c r="C37" s="13">
        <v>4678.78</v>
      </c>
    </row>
    <row r="38" spans="1:3" x14ac:dyDescent="0.2">
      <c r="A38" s="16" t="s">
        <v>50</v>
      </c>
      <c r="B38" s="13">
        <v>219557921</v>
      </c>
      <c r="C38" s="13">
        <v>4731.47</v>
      </c>
    </row>
    <row r="39" spans="1:3" x14ac:dyDescent="0.2">
      <c r="A39" s="16" t="s">
        <v>51</v>
      </c>
      <c r="B39" s="13">
        <v>219557921</v>
      </c>
      <c r="C39" s="13">
        <v>4790.75</v>
      </c>
    </row>
    <row r="40" spans="1:3" x14ac:dyDescent="0.2">
      <c r="A40" s="16" t="s">
        <v>52</v>
      </c>
      <c r="B40" s="13">
        <v>219557921</v>
      </c>
      <c r="C40" s="13">
        <v>4685.37</v>
      </c>
    </row>
    <row r="41" spans="1:3" x14ac:dyDescent="0.2">
      <c r="A41" s="16" t="s">
        <v>53</v>
      </c>
      <c r="B41" s="13">
        <v>219557921</v>
      </c>
      <c r="C41" s="13">
        <v>4770.99</v>
      </c>
    </row>
    <row r="42" spans="1:3" x14ac:dyDescent="0.2">
      <c r="A42" s="16" t="s">
        <v>54</v>
      </c>
      <c r="B42" s="13">
        <v>219557921</v>
      </c>
      <c r="C42" s="13">
        <v>4586.5600000000004</v>
      </c>
    </row>
    <row r="43" spans="1:3" x14ac:dyDescent="0.2">
      <c r="A43" s="16" t="s">
        <v>55</v>
      </c>
      <c r="B43" s="13">
        <v>219557921</v>
      </c>
      <c r="C43" s="13">
        <v>4700.74</v>
      </c>
    </row>
    <row r="44" spans="1:3" x14ac:dyDescent="0.2">
      <c r="A44" s="16" t="s">
        <v>56</v>
      </c>
      <c r="B44" s="13">
        <v>219557921</v>
      </c>
      <c r="C44" s="13">
        <v>4790.75</v>
      </c>
    </row>
    <row r="45" spans="1:3" x14ac:dyDescent="0.2">
      <c r="A45" s="16" t="s">
        <v>57</v>
      </c>
      <c r="B45" s="13">
        <v>219557921</v>
      </c>
      <c r="C45" s="13">
        <v>4630.4799999999996</v>
      </c>
    </row>
    <row r="46" spans="1:3" x14ac:dyDescent="0.2">
      <c r="A46" s="16" t="s">
        <v>58</v>
      </c>
      <c r="B46" s="13">
        <v>219557921</v>
      </c>
      <c r="C46" s="13">
        <v>4507.5200000000004</v>
      </c>
    </row>
    <row r="47" spans="1:3" x14ac:dyDescent="0.2">
      <c r="A47" s="16" t="s">
        <v>59</v>
      </c>
      <c r="B47" s="13">
        <v>219587698</v>
      </c>
      <c r="C47" s="13">
        <v>4567.42</v>
      </c>
    </row>
    <row r="48" spans="1:3" x14ac:dyDescent="0.2">
      <c r="A48" s="16" t="s">
        <v>60</v>
      </c>
      <c r="B48" s="13">
        <v>219587698</v>
      </c>
      <c r="C48" s="13">
        <v>4628.91</v>
      </c>
    </row>
    <row r="49" spans="1:5" x14ac:dyDescent="0.2">
      <c r="A49" s="16" t="s">
        <v>61</v>
      </c>
      <c r="B49" s="13">
        <v>219587698</v>
      </c>
      <c r="C49" s="13">
        <v>4740.8999999999996</v>
      </c>
    </row>
    <row r="50" spans="1:5" x14ac:dyDescent="0.2">
      <c r="A50" s="16" t="s">
        <v>62</v>
      </c>
      <c r="B50" s="13">
        <v>219587698</v>
      </c>
      <c r="C50" s="13">
        <v>4723.33</v>
      </c>
    </row>
    <row r="51" spans="1:5" x14ac:dyDescent="0.2">
      <c r="A51" s="16" t="s">
        <v>63</v>
      </c>
      <c r="B51" s="13">
        <v>220908298</v>
      </c>
      <c r="C51" s="13">
        <v>4800.34</v>
      </c>
    </row>
    <row r="52" spans="1:5" x14ac:dyDescent="0.2">
      <c r="A52" s="16" t="s">
        <v>64</v>
      </c>
      <c r="B52" s="13">
        <v>220908298</v>
      </c>
      <c r="C52" s="13">
        <v>4848.9399999999996</v>
      </c>
    </row>
    <row r="53" spans="1:5" x14ac:dyDescent="0.2">
      <c r="A53" s="16" t="s">
        <v>65</v>
      </c>
      <c r="B53" s="13">
        <v>220908298</v>
      </c>
      <c r="C53" s="13">
        <v>4784.87</v>
      </c>
    </row>
    <row r="54" spans="1:5" x14ac:dyDescent="0.2">
      <c r="A54" s="16" t="s">
        <v>66</v>
      </c>
      <c r="B54" s="13">
        <v>220908298</v>
      </c>
      <c r="C54" s="13">
        <v>4639.07</v>
      </c>
    </row>
    <row r="55" spans="1:5" x14ac:dyDescent="0.2">
      <c r="A55" s="16" t="s">
        <v>67</v>
      </c>
      <c r="B55" s="13">
        <v>220908298</v>
      </c>
      <c r="C55" s="13">
        <v>4674.42</v>
      </c>
    </row>
    <row r="56" spans="1:5" x14ac:dyDescent="0.2">
      <c r="A56" s="16" t="s">
        <v>68</v>
      </c>
      <c r="B56" s="13">
        <v>220908298</v>
      </c>
      <c r="C56" s="13">
        <v>4643.49</v>
      </c>
    </row>
    <row r="57" spans="1:5" x14ac:dyDescent="0.2">
      <c r="A57" s="16" t="s">
        <v>69</v>
      </c>
      <c r="B57" s="13">
        <v>220908298</v>
      </c>
      <c r="C57" s="13">
        <v>4687.67</v>
      </c>
    </row>
    <row r="58" spans="1:5" x14ac:dyDescent="0.2">
      <c r="A58" s="16" t="s">
        <v>70</v>
      </c>
      <c r="B58" s="13">
        <v>220908298</v>
      </c>
      <c r="C58" s="13">
        <v>4709.76</v>
      </c>
    </row>
    <row r="59" spans="1:5" x14ac:dyDescent="0.2">
      <c r="A59" s="16" t="s">
        <v>71</v>
      </c>
      <c r="B59" s="13">
        <v>220908298</v>
      </c>
      <c r="C59" s="13">
        <v>4645.7</v>
      </c>
    </row>
    <row r="60" spans="1:5" x14ac:dyDescent="0.2">
      <c r="A60" s="16" t="s">
        <v>72</v>
      </c>
      <c r="B60" s="13">
        <v>220908298</v>
      </c>
      <c r="C60" s="13">
        <v>4692.09</v>
      </c>
    </row>
    <row r="61" spans="1:5" x14ac:dyDescent="0.2">
      <c r="A61" s="16" t="s">
        <v>73</v>
      </c>
      <c r="B61" s="13">
        <v>220908298</v>
      </c>
      <c r="C61" s="13">
        <v>4742.8999999999996</v>
      </c>
    </row>
    <row r="62" spans="1:5" x14ac:dyDescent="0.2">
      <c r="A62" s="16" t="s">
        <v>74</v>
      </c>
      <c r="B62" s="13">
        <v>220908298</v>
      </c>
      <c r="C62" s="13">
        <v>4736.2700000000004</v>
      </c>
      <c r="E62" s="9"/>
    </row>
    <row r="63" spans="1:5" x14ac:dyDescent="0.2">
      <c r="A63" s="16" t="s">
        <v>75</v>
      </c>
      <c r="B63" s="13">
        <v>220908298</v>
      </c>
      <c r="C63" s="13">
        <v>4826.8500000000004</v>
      </c>
      <c r="E63" s="9"/>
    </row>
    <row r="64" spans="1:5" x14ac:dyDescent="0.2">
      <c r="A64" s="16" t="s">
        <v>76</v>
      </c>
      <c r="B64" s="13">
        <v>220908298</v>
      </c>
      <c r="C64" s="13">
        <v>4791.5</v>
      </c>
    </row>
    <row r="65" spans="1:3" x14ac:dyDescent="0.2">
      <c r="A65" s="16" t="s">
        <v>77</v>
      </c>
      <c r="B65" s="13">
        <v>220908298</v>
      </c>
      <c r="C65" s="13">
        <v>4665.58</v>
      </c>
    </row>
    <row r="66" spans="1:3" x14ac:dyDescent="0.2">
      <c r="A66" s="16" t="s">
        <v>78</v>
      </c>
      <c r="B66" s="13">
        <v>220908298</v>
      </c>
      <c r="C66" s="13">
        <v>4762.78</v>
      </c>
    </row>
    <row r="67" spans="1:3" x14ac:dyDescent="0.2">
      <c r="A67" s="16" t="s">
        <v>79</v>
      </c>
      <c r="B67" s="13">
        <v>220908298</v>
      </c>
      <c r="C67" s="13">
        <v>4672.21</v>
      </c>
    </row>
    <row r="68" spans="1:3" x14ac:dyDescent="0.2">
      <c r="A68" s="16" t="s">
        <v>80</v>
      </c>
      <c r="B68" s="13">
        <v>220908298</v>
      </c>
      <c r="C68" s="13">
        <v>4782.66</v>
      </c>
    </row>
    <row r="69" spans="1:3" x14ac:dyDescent="0.2">
      <c r="A69" s="16" t="s">
        <v>81</v>
      </c>
      <c r="B69" s="13">
        <v>220935250</v>
      </c>
      <c r="C69" s="13">
        <v>4697.08</v>
      </c>
    </row>
    <row r="70" spans="1:3" x14ac:dyDescent="0.2">
      <c r="A70" s="16" t="s">
        <v>82</v>
      </c>
      <c r="B70" s="13">
        <v>220935250</v>
      </c>
      <c r="C70" s="13">
        <v>4734.6400000000003</v>
      </c>
    </row>
    <row r="71" spans="1:3" x14ac:dyDescent="0.2">
      <c r="A71" s="16" t="s">
        <v>83</v>
      </c>
      <c r="B71" s="13">
        <v>220935250</v>
      </c>
      <c r="C71" s="13">
        <v>4719.18</v>
      </c>
    </row>
    <row r="72" spans="1:3" x14ac:dyDescent="0.2">
      <c r="A72" s="16" t="s">
        <v>84</v>
      </c>
      <c r="B72" s="13">
        <v>220935250</v>
      </c>
      <c r="C72" s="13">
        <v>4719.18</v>
      </c>
    </row>
    <row r="73" spans="1:3" x14ac:dyDescent="0.2">
      <c r="A73" s="16" t="s">
        <v>85</v>
      </c>
      <c r="B73" s="13">
        <v>220935250</v>
      </c>
      <c r="C73" s="13">
        <v>4690.46</v>
      </c>
    </row>
    <row r="74" spans="1:3" x14ac:dyDescent="0.2">
      <c r="A74" s="16" t="s">
        <v>86</v>
      </c>
      <c r="B74" s="13">
        <v>220935250</v>
      </c>
      <c r="C74" s="13">
        <v>4615.34</v>
      </c>
    </row>
    <row r="75" spans="1:3" x14ac:dyDescent="0.2">
      <c r="A75" s="16" t="s">
        <v>87</v>
      </c>
      <c r="B75" s="13">
        <v>220939470</v>
      </c>
      <c r="C75" s="13">
        <v>4652.99</v>
      </c>
    </row>
    <row r="76" spans="1:3" x14ac:dyDescent="0.2">
      <c r="A76" s="16" t="s">
        <v>88</v>
      </c>
      <c r="B76" s="13">
        <v>220939470</v>
      </c>
      <c r="C76" s="13">
        <v>4648.57</v>
      </c>
    </row>
    <row r="77" spans="1:3" x14ac:dyDescent="0.2">
      <c r="A77" s="16" t="s">
        <v>89</v>
      </c>
      <c r="B77" s="13">
        <v>220939470</v>
      </c>
      <c r="C77" s="13">
        <v>4416.58</v>
      </c>
    </row>
    <row r="78" spans="1:3" x14ac:dyDescent="0.2">
      <c r="A78" s="16" t="s">
        <v>90</v>
      </c>
      <c r="B78" s="13">
        <v>220939470</v>
      </c>
      <c r="C78" s="13">
        <v>4478.4399999999996</v>
      </c>
    </row>
    <row r="79" spans="1:3" x14ac:dyDescent="0.2">
      <c r="A79" s="16" t="s">
        <v>91</v>
      </c>
      <c r="B79" s="13">
        <v>220939470</v>
      </c>
      <c r="C79" s="13">
        <v>4637.5200000000004</v>
      </c>
    </row>
    <row r="80" spans="1:3" x14ac:dyDescent="0.2">
      <c r="A80" s="16" t="s">
        <v>92</v>
      </c>
      <c r="B80" s="13">
        <v>220939470</v>
      </c>
      <c r="C80" s="13">
        <v>4584.49</v>
      </c>
    </row>
    <row r="81" spans="1:3" x14ac:dyDescent="0.2">
      <c r="A81" s="16" t="s">
        <v>93</v>
      </c>
      <c r="B81" s="13">
        <v>220939470</v>
      </c>
      <c r="C81" s="13">
        <v>4637.5200000000004</v>
      </c>
    </row>
    <row r="82" spans="1:3" x14ac:dyDescent="0.2">
      <c r="A82" s="16" t="s">
        <v>94</v>
      </c>
      <c r="B82" s="13">
        <v>220939470</v>
      </c>
      <c r="C82" s="13">
        <v>4681.71</v>
      </c>
    </row>
    <row r="83" spans="1:3" x14ac:dyDescent="0.2">
      <c r="A83" s="16" t="s">
        <v>95</v>
      </c>
      <c r="B83" s="13">
        <v>220939470</v>
      </c>
      <c r="C83" s="13">
        <v>4686.13</v>
      </c>
    </row>
    <row r="84" spans="1:3" x14ac:dyDescent="0.2">
      <c r="A84" s="16" t="s">
        <v>96</v>
      </c>
      <c r="B84" s="13">
        <v>220939470</v>
      </c>
      <c r="C84" s="13">
        <v>4613.22</v>
      </c>
    </row>
    <row r="85" spans="1:3" x14ac:dyDescent="0.2">
      <c r="A85" s="16" t="s">
        <v>97</v>
      </c>
      <c r="B85" s="13">
        <v>220939470</v>
      </c>
      <c r="C85" s="13">
        <v>4522.63</v>
      </c>
    </row>
    <row r="86" spans="1:3" x14ac:dyDescent="0.2">
      <c r="A86" s="16" t="s">
        <v>98</v>
      </c>
      <c r="B86" s="13">
        <v>220939470</v>
      </c>
      <c r="C86" s="13">
        <v>4529.26</v>
      </c>
    </row>
    <row r="87" spans="1:3" x14ac:dyDescent="0.2">
      <c r="A87" s="16" t="s">
        <v>99</v>
      </c>
      <c r="B87" s="13">
        <v>220939470</v>
      </c>
      <c r="C87" s="13">
        <v>4432.05</v>
      </c>
    </row>
    <row r="88" spans="1:3" x14ac:dyDescent="0.2">
      <c r="A88" s="16" t="s">
        <v>100</v>
      </c>
      <c r="B88" s="13">
        <v>220939470</v>
      </c>
      <c r="C88" s="13">
        <v>4549.1400000000003</v>
      </c>
    </row>
    <row r="89" spans="1:3" x14ac:dyDescent="0.2">
      <c r="A89" s="16" t="s">
        <v>101</v>
      </c>
      <c r="B89" s="13">
        <v>220939470</v>
      </c>
      <c r="C89" s="13">
        <v>4650.78</v>
      </c>
    </row>
    <row r="90" spans="1:3" x14ac:dyDescent="0.2">
      <c r="A90" s="16" t="s">
        <v>102</v>
      </c>
      <c r="B90" s="13">
        <v>220969233</v>
      </c>
      <c r="C90" s="13">
        <v>4560.8</v>
      </c>
    </row>
    <row r="91" spans="1:3" x14ac:dyDescent="0.2">
      <c r="A91" s="16" t="s">
        <v>103</v>
      </c>
      <c r="B91" s="13">
        <v>220969233</v>
      </c>
      <c r="C91" s="13">
        <v>4512.1899999999996</v>
      </c>
    </row>
    <row r="92" spans="1:3" x14ac:dyDescent="0.2">
      <c r="A92" s="16" t="s">
        <v>104</v>
      </c>
      <c r="B92" s="13">
        <v>220969233</v>
      </c>
      <c r="C92" s="13">
        <v>4384.03</v>
      </c>
    </row>
    <row r="93" spans="1:3" x14ac:dyDescent="0.2">
      <c r="A93" s="16" t="s">
        <v>105</v>
      </c>
      <c r="B93" s="13">
        <v>220969233</v>
      </c>
      <c r="C93" s="13">
        <v>4549.76</v>
      </c>
    </row>
    <row r="94" spans="1:3" x14ac:dyDescent="0.2">
      <c r="A94" s="16" t="s">
        <v>106</v>
      </c>
      <c r="B94" s="13">
        <v>220969233</v>
      </c>
      <c r="C94" s="13">
        <v>4556.3900000000003</v>
      </c>
    </row>
    <row r="95" spans="1:3" x14ac:dyDescent="0.2">
      <c r="A95" s="16" t="s">
        <v>107</v>
      </c>
      <c r="B95" s="13">
        <v>220969233</v>
      </c>
      <c r="C95" s="13">
        <v>4574.0600000000004</v>
      </c>
    </row>
    <row r="96" spans="1:3" x14ac:dyDescent="0.2">
      <c r="A96" s="16" t="s">
        <v>108</v>
      </c>
      <c r="B96" s="13">
        <v>220969233</v>
      </c>
      <c r="C96" s="13">
        <v>4505.5600000000004</v>
      </c>
    </row>
    <row r="97" spans="1:3" x14ac:dyDescent="0.2">
      <c r="A97" s="16" t="s">
        <v>109</v>
      </c>
      <c r="B97" s="13">
        <v>220969233</v>
      </c>
      <c r="C97" s="13">
        <v>4516.6099999999997</v>
      </c>
    </row>
    <row r="98" spans="1:3" x14ac:dyDescent="0.2">
      <c r="A98" s="16" t="s">
        <v>110</v>
      </c>
      <c r="B98" s="13">
        <v>220969233</v>
      </c>
      <c r="C98" s="13">
        <v>4563.01</v>
      </c>
    </row>
    <row r="99" spans="1:3" x14ac:dyDescent="0.2">
      <c r="A99" s="16" t="s">
        <v>111</v>
      </c>
      <c r="B99" s="13">
        <v>220969233</v>
      </c>
      <c r="C99" s="13">
        <v>4494.51</v>
      </c>
    </row>
    <row r="100" spans="1:3" x14ac:dyDescent="0.2">
      <c r="A100" s="16" t="s">
        <v>112</v>
      </c>
      <c r="B100" s="13">
        <v>220969233</v>
      </c>
      <c r="C100" s="13">
        <v>4419.38</v>
      </c>
    </row>
    <row r="101" spans="1:3" x14ac:dyDescent="0.2">
      <c r="A101" s="16" t="s">
        <v>113</v>
      </c>
      <c r="B101" s="13">
        <v>220969233</v>
      </c>
      <c r="C101" s="13">
        <v>4311.1099999999997</v>
      </c>
    </row>
    <row r="102" spans="1:3" x14ac:dyDescent="0.2">
      <c r="A102" s="16" t="s">
        <v>114</v>
      </c>
      <c r="B102" s="13">
        <v>220969233</v>
      </c>
      <c r="C102" s="13">
        <v>4375.1899999999996</v>
      </c>
    </row>
    <row r="103" spans="1:3" x14ac:dyDescent="0.2">
      <c r="A103" s="16" t="s">
        <v>115</v>
      </c>
      <c r="B103" s="13">
        <v>220969233</v>
      </c>
      <c r="C103" s="13">
        <v>4286.8</v>
      </c>
    </row>
    <row r="104" spans="1:3" x14ac:dyDescent="0.2">
      <c r="A104" s="16" t="s">
        <v>116</v>
      </c>
      <c r="B104" s="13">
        <v>220969233</v>
      </c>
      <c r="C104" s="13">
        <v>4194</v>
      </c>
    </row>
    <row r="105" spans="1:3" x14ac:dyDescent="0.2">
      <c r="A105" s="16" t="s">
        <v>117</v>
      </c>
      <c r="B105" s="13">
        <v>220969233</v>
      </c>
      <c r="C105" s="13">
        <v>4222.72</v>
      </c>
    </row>
    <row r="106" spans="1:3" x14ac:dyDescent="0.2">
      <c r="A106" s="16" t="s">
        <v>118</v>
      </c>
      <c r="B106" s="13">
        <v>220969233</v>
      </c>
      <c r="C106" s="13">
        <v>4165.2700000000004</v>
      </c>
    </row>
    <row r="107" spans="1:3" x14ac:dyDescent="0.2">
      <c r="A107" s="16" t="s">
        <v>119</v>
      </c>
      <c r="B107" s="13">
        <v>220969233</v>
      </c>
      <c r="C107" s="13">
        <v>4191.79</v>
      </c>
    </row>
    <row r="108" spans="1:3" x14ac:dyDescent="0.2">
      <c r="A108" s="16" t="s">
        <v>120</v>
      </c>
      <c r="B108" s="13">
        <v>220969233</v>
      </c>
      <c r="C108" s="13">
        <v>4154.22</v>
      </c>
    </row>
    <row r="109" spans="1:3" x14ac:dyDescent="0.2">
      <c r="A109" s="16" t="s">
        <v>121</v>
      </c>
      <c r="B109" s="13">
        <v>220970484</v>
      </c>
      <c r="C109" s="13">
        <v>4233.79</v>
      </c>
    </row>
    <row r="110" spans="1:3" x14ac:dyDescent="0.2">
      <c r="A110" s="16" t="s">
        <v>122</v>
      </c>
      <c r="B110" s="13">
        <v>220970484</v>
      </c>
      <c r="C110" s="13">
        <v>4242.63</v>
      </c>
    </row>
    <row r="111" spans="1:3" x14ac:dyDescent="0.2">
      <c r="A111" s="16" t="s">
        <v>123</v>
      </c>
      <c r="B111" s="13">
        <v>220970484</v>
      </c>
      <c r="C111" s="13">
        <v>4282.41</v>
      </c>
    </row>
    <row r="112" spans="1:3" x14ac:dyDescent="0.2">
      <c r="A112" s="16" t="s">
        <v>124</v>
      </c>
      <c r="B112" s="13">
        <v>221002482</v>
      </c>
      <c r="C112" s="13">
        <v>4316.18</v>
      </c>
    </row>
    <row r="113" spans="1:3" x14ac:dyDescent="0.2">
      <c r="A113" s="16" t="s">
        <v>125</v>
      </c>
      <c r="B113" s="13">
        <v>221002482</v>
      </c>
      <c r="C113" s="13">
        <v>4241.04</v>
      </c>
    </row>
    <row r="114" spans="1:3" x14ac:dyDescent="0.2">
      <c r="A114" s="16" t="s">
        <v>126</v>
      </c>
      <c r="B114" s="13">
        <v>221002482</v>
      </c>
      <c r="C114" s="13">
        <v>4258.72</v>
      </c>
    </row>
    <row r="115" spans="1:3" x14ac:dyDescent="0.2">
      <c r="A115" s="16" t="s">
        <v>127</v>
      </c>
      <c r="B115" s="13">
        <v>221002482</v>
      </c>
      <c r="C115" s="13">
        <v>4325.0200000000004</v>
      </c>
    </row>
    <row r="116" spans="1:3" x14ac:dyDescent="0.2">
      <c r="A116" s="16" t="s">
        <v>128</v>
      </c>
      <c r="B116" s="13">
        <v>221002482</v>
      </c>
      <c r="C116" s="13">
        <v>4318.3900000000003</v>
      </c>
    </row>
    <row r="117" spans="1:3" x14ac:dyDescent="0.2">
      <c r="A117" s="16" t="s">
        <v>129</v>
      </c>
      <c r="B117" s="13">
        <v>221002482</v>
      </c>
      <c r="C117" s="13">
        <v>4406.79</v>
      </c>
    </row>
    <row r="118" spans="1:3" x14ac:dyDescent="0.2">
      <c r="A118" s="16" t="s">
        <v>130</v>
      </c>
      <c r="B118" s="13">
        <v>221002482</v>
      </c>
      <c r="C118" s="13">
        <v>4393.53</v>
      </c>
    </row>
    <row r="119" spans="1:3" x14ac:dyDescent="0.2">
      <c r="A119" s="16" t="s">
        <v>131</v>
      </c>
      <c r="B119" s="13">
        <v>221002482</v>
      </c>
      <c r="C119" s="13">
        <v>4382.4799999999996</v>
      </c>
    </row>
    <row r="120" spans="1:3" x14ac:dyDescent="0.2">
      <c r="A120" s="16" t="s">
        <v>132</v>
      </c>
      <c r="B120" s="13">
        <v>221002482</v>
      </c>
      <c r="C120" s="13">
        <v>4375.8500000000004</v>
      </c>
    </row>
    <row r="121" spans="1:3" x14ac:dyDescent="0.2">
      <c r="A121" s="16" t="s">
        <v>133</v>
      </c>
      <c r="B121" s="13">
        <v>221002482</v>
      </c>
      <c r="C121" s="13">
        <v>4342.7</v>
      </c>
    </row>
    <row r="122" spans="1:3" x14ac:dyDescent="0.2">
      <c r="A122" s="16" t="s">
        <v>134</v>
      </c>
      <c r="B122" s="13">
        <v>221002482</v>
      </c>
      <c r="C122" s="13">
        <v>4406.79</v>
      </c>
    </row>
    <row r="123" spans="1:3" x14ac:dyDescent="0.2">
      <c r="A123" s="16" t="s">
        <v>135</v>
      </c>
      <c r="B123" s="13">
        <v>221002482</v>
      </c>
      <c r="C123" s="13">
        <v>4400.16</v>
      </c>
    </row>
    <row r="124" spans="1:3" x14ac:dyDescent="0.2">
      <c r="A124" s="16" t="s">
        <v>136</v>
      </c>
      <c r="B124" s="13">
        <v>221002482</v>
      </c>
      <c r="C124" s="13">
        <v>4428.8900000000003</v>
      </c>
    </row>
    <row r="125" spans="1:3" x14ac:dyDescent="0.2">
      <c r="A125" s="16" t="s">
        <v>137</v>
      </c>
      <c r="B125" s="13">
        <v>221002482</v>
      </c>
      <c r="C125" s="13">
        <v>4459.83</v>
      </c>
    </row>
    <row r="126" spans="1:3" x14ac:dyDescent="0.2">
      <c r="A126" s="16" t="s">
        <v>138</v>
      </c>
      <c r="B126" s="13">
        <v>221002482</v>
      </c>
      <c r="C126" s="13">
        <v>4380.2700000000004</v>
      </c>
    </row>
    <row r="127" spans="1:3" x14ac:dyDescent="0.2">
      <c r="A127" s="16" t="s">
        <v>139</v>
      </c>
      <c r="B127" s="13">
        <v>221002482</v>
      </c>
      <c r="C127" s="13">
        <v>4417.84</v>
      </c>
    </row>
    <row r="128" spans="1:3" x14ac:dyDescent="0.2">
      <c r="A128" s="16" t="s">
        <v>140</v>
      </c>
      <c r="B128" s="13">
        <v>221002482</v>
      </c>
      <c r="C128" s="13">
        <v>4559.28</v>
      </c>
    </row>
    <row r="129" spans="1:3" x14ac:dyDescent="0.2">
      <c r="A129" s="16" t="s">
        <v>141</v>
      </c>
      <c r="B129" s="13">
        <v>221002482</v>
      </c>
      <c r="C129" s="13">
        <v>4641.05</v>
      </c>
    </row>
    <row r="130" spans="1:3" x14ac:dyDescent="0.2">
      <c r="A130" s="16" t="s">
        <v>142</v>
      </c>
      <c r="B130" s="13">
        <v>221031333</v>
      </c>
      <c r="C130" s="13">
        <v>4752.17</v>
      </c>
    </row>
    <row r="131" spans="1:3" x14ac:dyDescent="0.2">
      <c r="A131" s="16" t="s">
        <v>143</v>
      </c>
      <c r="B131" s="13">
        <v>221031333</v>
      </c>
      <c r="C131" s="13">
        <v>4721.2299999999996</v>
      </c>
    </row>
    <row r="132" spans="1:3" x14ac:dyDescent="0.2">
      <c r="A132" s="16" t="s">
        <v>144</v>
      </c>
      <c r="B132" s="13">
        <v>221031333</v>
      </c>
      <c r="C132" s="13">
        <v>4716.8100000000004</v>
      </c>
    </row>
    <row r="133" spans="1:3" x14ac:dyDescent="0.2">
      <c r="A133" s="16" t="s">
        <v>145</v>
      </c>
      <c r="B133" s="13">
        <v>221031333</v>
      </c>
      <c r="C133" s="13">
        <v>4730.07</v>
      </c>
    </row>
    <row r="134" spans="1:3" x14ac:dyDescent="0.2">
      <c r="A134" s="16" t="s">
        <v>146</v>
      </c>
      <c r="B134" s="13">
        <v>221031333</v>
      </c>
      <c r="C134" s="13">
        <v>4776.49</v>
      </c>
    </row>
    <row r="135" spans="1:3" x14ac:dyDescent="0.2">
      <c r="A135" s="16" t="s">
        <v>147</v>
      </c>
      <c r="B135" s="13">
        <v>221031333</v>
      </c>
      <c r="C135" s="13">
        <v>4851.6400000000003</v>
      </c>
    </row>
    <row r="136" spans="1:3" x14ac:dyDescent="0.2">
      <c r="A136" s="16" t="s">
        <v>148</v>
      </c>
      <c r="B136" s="13">
        <v>221031333</v>
      </c>
      <c r="C136" s="13">
        <v>4986.47</v>
      </c>
    </row>
    <row r="137" spans="1:3" x14ac:dyDescent="0.2">
      <c r="A137" s="16" t="s">
        <v>149</v>
      </c>
      <c r="B137" s="13">
        <v>221031333</v>
      </c>
      <c r="C137" s="13">
        <v>4871.53</v>
      </c>
    </row>
    <row r="138" spans="1:3" x14ac:dyDescent="0.2">
      <c r="A138" s="16" t="s">
        <v>150</v>
      </c>
      <c r="B138" s="13">
        <v>221031333</v>
      </c>
      <c r="C138" s="13">
        <v>4915.74</v>
      </c>
    </row>
    <row r="139" spans="1:3" x14ac:dyDescent="0.2">
      <c r="A139" s="16" t="s">
        <v>151</v>
      </c>
      <c r="B139" s="13">
        <v>221031333</v>
      </c>
      <c r="C139" s="13">
        <v>4904.6899999999996</v>
      </c>
    </row>
    <row r="140" spans="1:3" x14ac:dyDescent="0.2">
      <c r="A140" s="16" t="s">
        <v>152</v>
      </c>
      <c r="B140" s="13">
        <v>221031333</v>
      </c>
      <c r="C140" s="13">
        <v>5008.57</v>
      </c>
    </row>
    <row r="141" spans="1:3" x14ac:dyDescent="0.2">
      <c r="A141" s="16" t="s">
        <v>153</v>
      </c>
      <c r="B141" s="13">
        <v>221031333</v>
      </c>
      <c r="C141" s="13">
        <v>5083.72</v>
      </c>
    </row>
    <row r="142" spans="1:3" x14ac:dyDescent="0.2">
      <c r="A142" s="16" t="s">
        <v>154</v>
      </c>
      <c r="B142" s="13">
        <v>221031333</v>
      </c>
      <c r="C142" s="13">
        <v>5085.93</v>
      </c>
    </row>
    <row r="143" spans="1:3" x14ac:dyDescent="0.2">
      <c r="A143" s="16" t="s">
        <v>155</v>
      </c>
      <c r="B143" s="13">
        <v>221031333</v>
      </c>
      <c r="C143" s="13">
        <v>4845.01</v>
      </c>
    </row>
    <row r="144" spans="1:3" x14ac:dyDescent="0.2">
      <c r="A144" s="16" t="s">
        <v>156</v>
      </c>
      <c r="B144" s="13">
        <v>221031333</v>
      </c>
      <c r="C144" s="13">
        <v>4707.97</v>
      </c>
    </row>
    <row r="145" spans="1:3" x14ac:dyDescent="0.2">
      <c r="A145" s="16" t="s">
        <v>157</v>
      </c>
      <c r="B145" s="13">
        <v>221031333</v>
      </c>
      <c r="C145" s="13">
        <v>4730.07</v>
      </c>
    </row>
    <row r="146" spans="1:3" x14ac:dyDescent="0.2">
      <c r="A146" s="16" t="s">
        <v>158</v>
      </c>
      <c r="B146" s="13">
        <v>221031333</v>
      </c>
      <c r="C146" s="13">
        <v>4774.28</v>
      </c>
    </row>
    <row r="147" spans="1:3" x14ac:dyDescent="0.2">
      <c r="A147" s="16" t="s">
        <v>159</v>
      </c>
      <c r="B147" s="13">
        <v>221031333</v>
      </c>
      <c r="C147" s="13">
        <v>4765.4399999999996</v>
      </c>
    </row>
    <row r="148" spans="1:3" x14ac:dyDescent="0.2">
      <c r="A148" s="16" t="s">
        <v>160</v>
      </c>
      <c r="B148" s="13">
        <v>221031333</v>
      </c>
      <c r="C148" s="13">
        <v>4909.1099999999997</v>
      </c>
    </row>
    <row r="149" spans="1:3" x14ac:dyDescent="0.2">
      <c r="A149" s="16" t="s">
        <v>161</v>
      </c>
      <c r="B149" s="13">
        <v>221031333</v>
      </c>
      <c r="C149" s="13">
        <v>4825.1099999999997</v>
      </c>
    </row>
    <row r="150" spans="1:3" x14ac:dyDescent="0.2">
      <c r="A150" s="16" t="s">
        <v>162</v>
      </c>
      <c r="B150" s="13">
        <v>221031333</v>
      </c>
      <c r="C150" s="13">
        <v>4665.97</v>
      </c>
    </row>
    <row r="151" spans="1:3" x14ac:dyDescent="0.2">
      <c r="A151" s="16" t="s">
        <v>163</v>
      </c>
      <c r="B151" s="13">
        <v>221031333</v>
      </c>
      <c r="C151" s="13">
        <v>4497.99</v>
      </c>
    </row>
    <row r="152" spans="1:3" x14ac:dyDescent="0.2">
      <c r="A152" s="16" t="s">
        <v>164</v>
      </c>
      <c r="B152" s="13">
        <v>221031333</v>
      </c>
      <c r="C152" s="13">
        <v>4524.51</v>
      </c>
    </row>
    <row r="153" spans="1:3" x14ac:dyDescent="0.2">
      <c r="A153" s="16" t="s">
        <v>165</v>
      </c>
      <c r="B153" s="13">
        <v>221031333</v>
      </c>
      <c r="C153" s="13">
        <v>4493.57</v>
      </c>
    </row>
    <row r="154" spans="1:3" x14ac:dyDescent="0.2">
      <c r="A154" s="16" t="s">
        <v>166</v>
      </c>
      <c r="B154" s="13">
        <v>221058444</v>
      </c>
      <c r="C154" s="13">
        <v>4498.54</v>
      </c>
    </row>
    <row r="155" spans="1:3" x14ac:dyDescent="0.2">
      <c r="A155" s="16" t="s">
        <v>167</v>
      </c>
      <c r="B155" s="13">
        <v>221058444</v>
      </c>
      <c r="C155" s="13">
        <v>4474.22</v>
      </c>
    </row>
    <row r="156" spans="1:3" x14ac:dyDescent="0.2">
      <c r="A156" s="16" t="s">
        <v>168</v>
      </c>
      <c r="B156" s="13">
        <v>221058444</v>
      </c>
      <c r="C156" s="13">
        <v>4540.54</v>
      </c>
    </row>
    <row r="157" spans="1:3" x14ac:dyDescent="0.2">
      <c r="A157" s="16" t="s">
        <v>169</v>
      </c>
      <c r="B157" s="13">
        <v>221058444</v>
      </c>
      <c r="C157" s="13">
        <v>4474.22</v>
      </c>
    </row>
    <row r="158" spans="1:3" x14ac:dyDescent="0.2">
      <c r="A158" s="16" t="s">
        <v>170</v>
      </c>
      <c r="B158" s="13">
        <v>221058444</v>
      </c>
      <c r="C158" s="13">
        <v>4511.8</v>
      </c>
    </row>
    <row r="159" spans="1:3" x14ac:dyDescent="0.2">
      <c r="A159" s="16" t="s">
        <v>171</v>
      </c>
      <c r="B159" s="13">
        <v>221058444</v>
      </c>
      <c r="C159" s="13">
        <v>4527.28</v>
      </c>
    </row>
    <row r="160" spans="1:3" x14ac:dyDescent="0.2">
      <c r="A160" s="16" t="s">
        <v>172</v>
      </c>
      <c r="B160" s="13">
        <v>221058444</v>
      </c>
      <c r="C160" s="13">
        <v>4509.59</v>
      </c>
    </row>
    <row r="161" spans="1:3" x14ac:dyDescent="0.2">
      <c r="A161" s="16" t="s">
        <v>173</v>
      </c>
      <c r="B161" s="13">
        <v>221058444</v>
      </c>
      <c r="C161" s="13">
        <v>4476.43</v>
      </c>
    </row>
    <row r="162" spans="1:3" x14ac:dyDescent="0.2">
      <c r="A162" s="16" t="s">
        <v>174</v>
      </c>
      <c r="B162" s="13">
        <v>221058444</v>
      </c>
      <c r="C162" s="13">
        <v>4467.59</v>
      </c>
    </row>
    <row r="163" spans="1:3" x14ac:dyDescent="0.2">
      <c r="A163" s="16" t="s">
        <v>175</v>
      </c>
      <c r="B163" s="13">
        <v>221058444</v>
      </c>
      <c r="C163" s="13">
        <v>4447.7</v>
      </c>
    </row>
    <row r="164" spans="1:3" x14ac:dyDescent="0.2">
      <c r="A164" s="16" t="s">
        <v>176</v>
      </c>
      <c r="B164" s="13">
        <v>221058444</v>
      </c>
      <c r="C164" s="13">
        <v>4332.75</v>
      </c>
    </row>
    <row r="165" spans="1:3" x14ac:dyDescent="0.2">
      <c r="A165" s="16" t="s">
        <v>177</v>
      </c>
      <c r="B165" s="13">
        <v>221058444</v>
      </c>
      <c r="C165" s="13">
        <v>4414.54</v>
      </c>
    </row>
    <row r="166" spans="1:3" x14ac:dyDescent="0.2">
      <c r="A166" s="16" t="s">
        <v>178</v>
      </c>
      <c r="B166" s="13">
        <v>221058444</v>
      </c>
      <c r="C166" s="13">
        <v>4343.8</v>
      </c>
    </row>
    <row r="167" spans="1:3" x14ac:dyDescent="0.2">
      <c r="A167" s="16" t="s">
        <v>179</v>
      </c>
      <c r="B167" s="13">
        <v>221058444</v>
      </c>
      <c r="C167" s="13">
        <v>4273.0600000000004</v>
      </c>
    </row>
    <row r="168" spans="1:3" x14ac:dyDescent="0.2">
      <c r="A168" s="16" t="s">
        <v>180</v>
      </c>
      <c r="B168" s="13">
        <v>221058444</v>
      </c>
      <c r="C168" s="13">
        <v>4432.22</v>
      </c>
    </row>
    <row r="169" spans="1:3" x14ac:dyDescent="0.2">
      <c r="A169" s="16" t="s">
        <v>181</v>
      </c>
      <c r="B169" s="13">
        <v>221058444</v>
      </c>
      <c r="C169" s="13">
        <v>4525.07</v>
      </c>
    </row>
    <row r="170" spans="1:3" x14ac:dyDescent="0.2">
      <c r="A170" s="16" t="s">
        <v>182</v>
      </c>
      <c r="B170" s="13">
        <v>221058444</v>
      </c>
      <c r="C170" s="13">
        <v>4635.6000000000004</v>
      </c>
    </row>
    <row r="171" spans="1:3" x14ac:dyDescent="0.2">
      <c r="A171" s="16" t="s">
        <v>183</v>
      </c>
      <c r="B171" s="13">
        <v>221058444</v>
      </c>
      <c r="C171" s="13">
        <v>4757.18</v>
      </c>
    </row>
    <row r="172" spans="1:3" x14ac:dyDescent="0.2">
      <c r="A172" s="16" t="s">
        <v>184</v>
      </c>
      <c r="B172" s="13">
        <v>221058444</v>
      </c>
      <c r="C172" s="13">
        <v>4772.6499999999996</v>
      </c>
    </row>
    <row r="173" spans="1:3" x14ac:dyDescent="0.2">
      <c r="A173" s="16" t="s">
        <v>185</v>
      </c>
      <c r="B173" s="13">
        <v>221808706</v>
      </c>
      <c r="C173" s="13">
        <v>4700.13</v>
      </c>
    </row>
    <row r="174" spans="1:3" x14ac:dyDescent="0.2">
      <c r="A174" s="16" t="s">
        <v>186</v>
      </c>
      <c r="B174" s="13">
        <v>221842149</v>
      </c>
      <c r="C174" s="13">
        <v>4669.78</v>
      </c>
    </row>
    <row r="175" spans="1:3" x14ac:dyDescent="0.2">
      <c r="A175" s="16" t="s">
        <v>187</v>
      </c>
      <c r="B175" s="13">
        <v>221842149</v>
      </c>
      <c r="C175" s="13">
        <v>4616.54</v>
      </c>
    </row>
    <row r="176" spans="1:3" x14ac:dyDescent="0.2">
      <c r="A176" s="16" t="s">
        <v>188</v>
      </c>
      <c r="B176" s="13">
        <v>221842149</v>
      </c>
      <c r="C176" s="13">
        <v>4592.13</v>
      </c>
    </row>
    <row r="177" spans="1:3" x14ac:dyDescent="0.2">
      <c r="A177" s="16" t="s">
        <v>189</v>
      </c>
      <c r="B177" s="13">
        <v>221842149</v>
      </c>
      <c r="C177" s="13">
        <v>4583.26</v>
      </c>
    </row>
    <row r="178" spans="1:3" x14ac:dyDescent="0.2">
      <c r="A178" s="16" t="s">
        <v>190</v>
      </c>
      <c r="B178" s="13">
        <v>221842149</v>
      </c>
      <c r="C178" s="13">
        <v>4634.28</v>
      </c>
    </row>
    <row r="179" spans="1:3" x14ac:dyDescent="0.2">
      <c r="A179" s="16" t="s">
        <v>191</v>
      </c>
      <c r="B179" s="13">
        <v>221842149</v>
      </c>
      <c r="C179" s="13">
        <v>4554.42</v>
      </c>
    </row>
    <row r="180" spans="1:3" x14ac:dyDescent="0.2">
      <c r="A180" s="16" t="s">
        <v>192</v>
      </c>
      <c r="B180" s="13">
        <v>221842149</v>
      </c>
      <c r="C180" s="13">
        <v>4583.26</v>
      </c>
    </row>
    <row r="181" spans="1:3" x14ac:dyDescent="0.2">
      <c r="A181" s="16" t="s">
        <v>193</v>
      </c>
      <c r="B181" s="13">
        <v>221842149</v>
      </c>
      <c r="C181" s="13">
        <v>4592.13</v>
      </c>
    </row>
    <row r="182" spans="1:3" x14ac:dyDescent="0.2">
      <c r="A182" s="16" t="s">
        <v>194</v>
      </c>
      <c r="B182" s="13">
        <v>221842149</v>
      </c>
      <c r="C182" s="13">
        <v>4625.41</v>
      </c>
    </row>
    <row r="183" spans="1:3" x14ac:dyDescent="0.2">
      <c r="A183" s="16" t="s">
        <v>195</v>
      </c>
      <c r="B183" s="13">
        <v>221842149</v>
      </c>
      <c r="C183" s="13">
        <v>4605.4399999999996</v>
      </c>
    </row>
    <row r="184" spans="1:3" x14ac:dyDescent="0.2">
      <c r="A184" s="16" t="s">
        <v>196</v>
      </c>
      <c r="B184" s="13">
        <v>221842149</v>
      </c>
      <c r="C184" s="13">
        <v>4754.08</v>
      </c>
    </row>
    <row r="185" spans="1:3" x14ac:dyDescent="0.2">
      <c r="A185" s="16" t="s">
        <v>197</v>
      </c>
      <c r="B185" s="13">
        <v>221842149</v>
      </c>
      <c r="C185" s="13">
        <v>4860.5600000000004</v>
      </c>
    </row>
    <row r="186" spans="1:3" x14ac:dyDescent="0.2">
      <c r="A186" s="16" t="s">
        <v>198</v>
      </c>
      <c r="B186" s="13">
        <v>221845292</v>
      </c>
      <c r="C186" s="13">
        <v>4765.24</v>
      </c>
    </row>
    <row r="187" spans="1:3" x14ac:dyDescent="0.2">
      <c r="A187" s="16" t="s">
        <v>199</v>
      </c>
      <c r="B187" s="13">
        <v>221845292</v>
      </c>
      <c r="C187" s="13">
        <v>4851.76</v>
      </c>
    </row>
    <row r="188" spans="1:3" x14ac:dyDescent="0.2">
      <c r="A188" s="16" t="s">
        <v>200</v>
      </c>
      <c r="B188" s="13">
        <v>221845292</v>
      </c>
      <c r="C188" s="13">
        <v>4869.5</v>
      </c>
    </row>
    <row r="189" spans="1:3" x14ac:dyDescent="0.2">
      <c r="A189" s="16" t="s">
        <v>201</v>
      </c>
      <c r="B189" s="13">
        <v>221845292</v>
      </c>
      <c r="C189" s="13">
        <v>5000.3900000000003</v>
      </c>
    </row>
    <row r="190" spans="1:3" x14ac:dyDescent="0.2">
      <c r="A190" s="16" t="s">
        <v>202</v>
      </c>
      <c r="B190" s="13">
        <v>221845292</v>
      </c>
      <c r="C190" s="13">
        <v>4980.43</v>
      </c>
    </row>
    <row r="191" spans="1:3" x14ac:dyDescent="0.2">
      <c r="A191" s="16" t="s">
        <v>203</v>
      </c>
      <c r="B191" s="13">
        <v>221845292</v>
      </c>
      <c r="C191" s="13">
        <v>4958.24</v>
      </c>
    </row>
    <row r="192" spans="1:3" x14ac:dyDescent="0.2">
      <c r="A192" s="16" t="s">
        <v>204</v>
      </c>
      <c r="B192" s="13">
        <v>221845292</v>
      </c>
      <c r="C192" s="13">
        <v>4927.18</v>
      </c>
    </row>
    <row r="193" spans="1:3" x14ac:dyDescent="0.2">
      <c r="A193" s="16" t="s">
        <v>205</v>
      </c>
      <c r="B193" s="13">
        <v>221845292</v>
      </c>
      <c r="C193" s="13">
        <v>4809.6099999999997</v>
      </c>
    </row>
    <row r="194" spans="1:3" x14ac:dyDescent="0.2">
      <c r="A194" s="16" t="s">
        <v>206</v>
      </c>
      <c r="B194" s="13">
        <v>221845292</v>
      </c>
      <c r="C194" s="13">
        <v>4794.08</v>
      </c>
    </row>
    <row r="195" spans="1:3" x14ac:dyDescent="0.2">
      <c r="A195" s="16" t="s">
        <v>207</v>
      </c>
      <c r="B195" s="13">
        <v>221872712</v>
      </c>
      <c r="C195" s="13">
        <v>4712.58</v>
      </c>
    </row>
    <row r="196" spans="1:3" x14ac:dyDescent="0.2">
      <c r="A196" s="16" t="s">
        <v>208</v>
      </c>
      <c r="B196" s="13">
        <v>221872712</v>
      </c>
      <c r="C196" s="13">
        <v>4807.9799999999996</v>
      </c>
    </row>
    <row r="197" spans="1:3" x14ac:dyDescent="0.2">
      <c r="A197" s="16" t="s">
        <v>209</v>
      </c>
      <c r="B197" s="13">
        <v>221872712</v>
      </c>
      <c r="C197" s="13">
        <v>4796.8900000000003</v>
      </c>
    </row>
    <row r="198" spans="1:3" x14ac:dyDescent="0.2">
      <c r="A198" s="16" t="s">
        <v>210</v>
      </c>
      <c r="B198" s="13">
        <v>221872712</v>
      </c>
      <c r="C198" s="13">
        <v>4863.45</v>
      </c>
    </row>
    <row r="199" spans="1:3" x14ac:dyDescent="0.2">
      <c r="A199" s="16" t="s">
        <v>211</v>
      </c>
      <c r="B199" s="13">
        <v>221872712</v>
      </c>
      <c r="C199" s="13">
        <v>4847.92</v>
      </c>
    </row>
    <row r="200" spans="1:3" x14ac:dyDescent="0.2">
      <c r="A200" s="16" t="s">
        <v>212</v>
      </c>
      <c r="B200" s="13">
        <v>221872712</v>
      </c>
      <c r="C200" s="13">
        <v>4856.79</v>
      </c>
    </row>
    <row r="201" spans="1:3" x14ac:dyDescent="0.2">
      <c r="A201" s="16" t="s">
        <v>213</v>
      </c>
      <c r="B201" s="13">
        <v>221872712</v>
      </c>
      <c r="C201" s="13">
        <v>4772.4799999999996</v>
      </c>
    </row>
    <row r="202" spans="1:3" x14ac:dyDescent="0.2">
      <c r="A202" s="16" t="s">
        <v>214</v>
      </c>
      <c r="B202" s="13">
        <v>221872712</v>
      </c>
      <c r="C202" s="13">
        <v>4774.7</v>
      </c>
    </row>
    <row r="203" spans="1:3" x14ac:dyDescent="0.2">
      <c r="A203" s="16" t="s">
        <v>215</v>
      </c>
      <c r="B203" s="13">
        <v>221872712</v>
      </c>
      <c r="C203" s="13">
        <v>4732.54</v>
      </c>
    </row>
    <row r="204" spans="1:3" x14ac:dyDescent="0.2">
      <c r="A204" s="16" t="s">
        <v>216</v>
      </c>
      <c r="B204" s="13">
        <v>221872712</v>
      </c>
      <c r="C204" s="13">
        <v>4796.8900000000003</v>
      </c>
    </row>
    <row r="205" spans="1:3" x14ac:dyDescent="0.2">
      <c r="A205" s="16" t="s">
        <v>217</v>
      </c>
      <c r="B205" s="13">
        <v>221872712</v>
      </c>
      <c r="C205" s="13">
        <v>3816.21</v>
      </c>
    </row>
    <row r="206" spans="1:3" x14ac:dyDescent="0.2">
      <c r="A206" s="16" t="s">
        <v>218</v>
      </c>
      <c r="B206" s="13">
        <v>221872712</v>
      </c>
      <c r="C206" s="13">
        <v>3840.62</v>
      </c>
    </row>
    <row r="207" spans="1:3" x14ac:dyDescent="0.2">
      <c r="A207" s="16" t="s">
        <v>219</v>
      </c>
      <c r="B207" s="13">
        <v>221872712</v>
      </c>
      <c r="C207" s="13">
        <v>3742.99</v>
      </c>
    </row>
    <row r="208" spans="1:3" x14ac:dyDescent="0.2">
      <c r="A208" s="16" t="s">
        <v>220</v>
      </c>
      <c r="B208" s="13">
        <v>221872712</v>
      </c>
      <c r="C208" s="13">
        <v>3632.06</v>
      </c>
    </row>
    <row r="209" spans="1:3" x14ac:dyDescent="0.2">
      <c r="A209" s="16" t="s">
        <v>221</v>
      </c>
      <c r="B209" s="13">
        <v>221872712</v>
      </c>
      <c r="C209" s="13">
        <v>3518.9</v>
      </c>
    </row>
    <row r="210" spans="1:3" x14ac:dyDescent="0.2">
      <c r="A210" s="16" t="s">
        <v>222</v>
      </c>
      <c r="B210" s="13">
        <v>221872712</v>
      </c>
      <c r="C210" s="13">
        <v>3525.56</v>
      </c>
    </row>
    <row r="211" spans="1:3" x14ac:dyDescent="0.2">
      <c r="A211" s="16" t="s">
        <v>223</v>
      </c>
      <c r="B211" s="13">
        <v>221872712</v>
      </c>
      <c r="C211" s="13">
        <v>3478.96</v>
      </c>
    </row>
    <row r="212" spans="1:3" x14ac:dyDescent="0.2">
      <c r="A212" s="16" t="s">
        <v>224</v>
      </c>
      <c r="B212" s="13">
        <v>221872712</v>
      </c>
      <c r="C212" s="13">
        <v>3476.75</v>
      </c>
    </row>
    <row r="213" spans="1:3" x14ac:dyDescent="0.2">
      <c r="A213" s="16" t="s">
        <v>225</v>
      </c>
      <c r="B213" s="13">
        <v>221872712</v>
      </c>
      <c r="C213" s="13">
        <v>3527.78</v>
      </c>
    </row>
    <row r="214" spans="1:3" x14ac:dyDescent="0.2">
      <c r="A214" s="16" t="s">
        <v>226</v>
      </c>
      <c r="B214" s="13">
        <v>221872712</v>
      </c>
      <c r="C214" s="13">
        <v>3545.53</v>
      </c>
    </row>
    <row r="215" spans="1:3" x14ac:dyDescent="0.2">
      <c r="A215" s="16" t="s">
        <v>227</v>
      </c>
      <c r="B215" s="13">
        <v>221872712</v>
      </c>
      <c r="C215" s="13">
        <v>3490.06</v>
      </c>
    </row>
    <row r="216" spans="1:3" x14ac:dyDescent="0.2">
      <c r="A216" s="16" t="s">
        <v>228</v>
      </c>
      <c r="B216" s="13">
        <v>221872712</v>
      </c>
      <c r="C216" s="13">
        <v>3445.68</v>
      </c>
    </row>
    <row r="217" spans="1:3" x14ac:dyDescent="0.2">
      <c r="A217" s="16" t="s">
        <v>229</v>
      </c>
      <c r="B217" s="13">
        <v>221872712</v>
      </c>
      <c r="C217" s="13">
        <v>3472.31</v>
      </c>
    </row>
    <row r="218" spans="1:3" x14ac:dyDescent="0.2">
      <c r="A218" s="16" t="s">
        <v>230</v>
      </c>
      <c r="B218" s="13">
        <v>221911982</v>
      </c>
      <c r="C218" s="13">
        <v>3506.21</v>
      </c>
    </row>
    <row r="219" spans="1:3" x14ac:dyDescent="0.2">
      <c r="A219" s="16" t="s">
        <v>231</v>
      </c>
      <c r="B219" s="13">
        <v>221911982</v>
      </c>
      <c r="C219" s="13">
        <v>3577.22</v>
      </c>
    </row>
    <row r="220" spans="1:3" x14ac:dyDescent="0.2">
      <c r="A220" s="16" t="s">
        <v>232</v>
      </c>
      <c r="B220" s="13">
        <v>221911982</v>
      </c>
      <c r="C220" s="13">
        <v>3606.07</v>
      </c>
    </row>
    <row r="221" spans="1:3" x14ac:dyDescent="0.2">
      <c r="A221" s="16" t="s">
        <v>233</v>
      </c>
      <c r="B221" s="13">
        <v>221911982</v>
      </c>
      <c r="C221" s="13">
        <v>3617.17</v>
      </c>
    </row>
    <row r="222" spans="1:3" x14ac:dyDescent="0.2">
      <c r="A222" s="16" t="s">
        <v>234</v>
      </c>
      <c r="B222" s="13">
        <v>221911982</v>
      </c>
      <c r="C222" s="13">
        <v>3646.01</v>
      </c>
    </row>
    <row r="223" spans="1:3" x14ac:dyDescent="0.2">
      <c r="A223" s="16" t="s">
        <v>235</v>
      </c>
      <c r="B223" s="13">
        <v>221911982</v>
      </c>
      <c r="C223" s="13">
        <v>3690.4</v>
      </c>
    </row>
    <row r="224" spans="1:3" x14ac:dyDescent="0.2">
      <c r="A224" s="16" t="s">
        <v>236</v>
      </c>
      <c r="B224" s="13">
        <v>221911982</v>
      </c>
      <c r="C224" s="13">
        <v>3859.05</v>
      </c>
    </row>
    <row r="225" spans="1:3" x14ac:dyDescent="0.2">
      <c r="A225" s="16" t="s">
        <v>237</v>
      </c>
      <c r="B225" s="13">
        <v>221911982</v>
      </c>
      <c r="C225" s="13">
        <v>3845.73</v>
      </c>
    </row>
    <row r="226" spans="1:3" x14ac:dyDescent="0.2">
      <c r="A226" s="16" t="s">
        <v>238</v>
      </c>
      <c r="B226" s="13">
        <v>221911982</v>
      </c>
      <c r="C226" s="13">
        <v>3808.01</v>
      </c>
    </row>
    <row r="227" spans="1:3" x14ac:dyDescent="0.2">
      <c r="A227" s="16" t="s">
        <v>239</v>
      </c>
      <c r="B227" s="13">
        <v>221911982</v>
      </c>
      <c r="C227" s="13">
        <v>3879.02</v>
      </c>
    </row>
    <row r="228" spans="1:3" x14ac:dyDescent="0.2">
      <c r="A228" s="16" t="s">
        <v>240</v>
      </c>
      <c r="B228" s="13">
        <v>221911982</v>
      </c>
      <c r="C228" s="13">
        <v>3819.11</v>
      </c>
    </row>
    <row r="229" spans="1:3" x14ac:dyDescent="0.2">
      <c r="A229" s="16" t="s">
        <v>241</v>
      </c>
      <c r="B229" s="13">
        <v>221911982</v>
      </c>
      <c r="C229" s="13">
        <v>3768.07</v>
      </c>
    </row>
    <row r="230" spans="1:3" x14ac:dyDescent="0.2">
      <c r="A230" s="16" t="s">
        <v>242</v>
      </c>
      <c r="B230" s="13">
        <v>221911982</v>
      </c>
      <c r="C230" s="13">
        <v>3772.5</v>
      </c>
    </row>
    <row r="231" spans="1:3" x14ac:dyDescent="0.2">
      <c r="A231" s="16" t="s">
        <v>243</v>
      </c>
      <c r="B231" s="13">
        <v>221911982</v>
      </c>
      <c r="C231" s="13">
        <v>3756.97</v>
      </c>
    </row>
    <row r="232" spans="1:3" x14ac:dyDescent="0.2">
      <c r="A232" s="16" t="s">
        <v>244</v>
      </c>
      <c r="B232" s="13">
        <v>221911982</v>
      </c>
      <c r="C232" s="13">
        <v>3705.93</v>
      </c>
    </row>
    <row r="233" spans="1:3" x14ac:dyDescent="0.2">
      <c r="A233" s="16" t="s">
        <v>245</v>
      </c>
      <c r="B233" s="13">
        <v>221911982</v>
      </c>
      <c r="C233" s="13">
        <v>3801.35</v>
      </c>
    </row>
    <row r="234" spans="1:3" x14ac:dyDescent="0.2">
      <c r="A234" s="16" t="s">
        <v>246</v>
      </c>
      <c r="B234" s="13">
        <v>221911982</v>
      </c>
      <c r="C234" s="13">
        <v>3859.05</v>
      </c>
    </row>
    <row r="235" spans="1:3" x14ac:dyDescent="0.2">
      <c r="A235" s="16" t="s">
        <v>247</v>
      </c>
      <c r="B235" s="13">
        <v>221911982</v>
      </c>
      <c r="C235" s="13">
        <v>3885.68</v>
      </c>
    </row>
    <row r="236" spans="1:3" x14ac:dyDescent="0.2">
      <c r="A236" s="16" t="s">
        <v>248</v>
      </c>
      <c r="B236" s="13">
        <v>221911982</v>
      </c>
      <c r="C236" s="13">
        <v>3845.73</v>
      </c>
    </row>
    <row r="237" spans="1:3" x14ac:dyDescent="0.2">
      <c r="A237" s="16" t="s">
        <v>249</v>
      </c>
      <c r="B237" s="13">
        <v>221911982</v>
      </c>
      <c r="C237" s="13">
        <v>3785.82</v>
      </c>
    </row>
    <row r="238" spans="1:3" x14ac:dyDescent="0.2">
      <c r="A238" s="16" t="s">
        <v>250</v>
      </c>
      <c r="B238" s="13">
        <v>221911982</v>
      </c>
      <c r="C238" s="13">
        <v>3772.5</v>
      </c>
    </row>
    <row r="239" spans="1:3" x14ac:dyDescent="0.2">
      <c r="A239" s="16" t="s">
        <v>251</v>
      </c>
      <c r="B239" s="13">
        <v>221911982</v>
      </c>
      <c r="C239" s="13">
        <v>3743.66</v>
      </c>
    </row>
    <row r="240" spans="1:3" x14ac:dyDescent="0.2">
      <c r="A240" s="16" t="s">
        <v>252</v>
      </c>
      <c r="B240" s="13">
        <v>221911982</v>
      </c>
      <c r="C240" s="13">
        <v>3754.75</v>
      </c>
    </row>
    <row r="241" spans="1:3" x14ac:dyDescent="0.2">
      <c r="A241" s="16" t="s">
        <v>253</v>
      </c>
      <c r="B241" s="13">
        <v>221945650</v>
      </c>
      <c r="C241" s="13">
        <v>3704.27</v>
      </c>
    </row>
    <row r="242" spans="1:3" x14ac:dyDescent="0.2">
      <c r="A242" s="16" t="s">
        <v>254</v>
      </c>
      <c r="B242" s="13">
        <v>221945650</v>
      </c>
      <c r="C242" s="13">
        <v>3639.91</v>
      </c>
    </row>
    <row r="243" spans="1:3" x14ac:dyDescent="0.2">
      <c r="A243" s="16" t="s">
        <v>255</v>
      </c>
      <c r="B243" s="13">
        <v>221945650</v>
      </c>
      <c r="C243" s="13">
        <v>3602.18</v>
      </c>
    </row>
    <row r="244" spans="1:3" x14ac:dyDescent="0.2">
      <c r="A244" s="16" t="s">
        <v>256</v>
      </c>
      <c r="B244" s="13">
        <v>221945650</v>
      </c>
      <c r="C244" s="13">
        <v>3584.42</v>
      </c>
    </row>
    <row r="245" spans="1:3" x14ac:dyDescent="0.2">
      <c r="A245" s="16" t="s">
        <v>257</v>
      </c>
      <c r="B245" s="13">
        <v>221945650</v>
      </c>
      <c r="C245" s="13">
        <v>3631.03</v>
      </c>
    </row>
    <row r="246" spans="1:3" x14ac:dyDescent="0.2">
      <c r="A246" s="16" t="s">
        <v>258</v>
      </c>
      <c r="B246" s="13">
        <v>221945650</v>
      </c>
      <c r="C246" s="13">
        <v>3655.44</v>
      </c>
    </row>
    <row r="247" spans="1:3" x14ac:dyDescent="0.2">
      <c r="A247" s="16" t="s">
        <v>259</v>
      </c>
      <c r="B247" s="13">
        <v>221945650</v>
      </c>
      <c r="C247" s="13">
        <v>3695.4</v>
      </c>
    </row>
    <row r="248" spans="1:3" x14ac:dyDescent="0.2">
      <c r="A248" s="16" t="s">
        <v>260</v>
      </c>
      <c r="B248" s="13">
        <v>221945650</v>
      </c>
      <c r="C248" s="13">
        <v>3666.54</v>
      </c>
    </row>
    <row r="249" spans="1:3" x14ac:dyDescent="0.2">
      <c r="A249" s="16" t="s">
        <v>261</v>
      </c>
      <c r="B249" s="13">
        <v>221945650</v>
      </c>
      <c r="C249" s="13">
        <v>3617.71</v>
      </c>
    </row>
    <row r="250" spans="1:3" x14ac:dyDescent="0.2">
      <c r="A250" s="16" t="s">
        <v>262</v>
      </c>
      <c r="B250" s="13">
        <v>221945650</v>
      </c>
      <c r="C250" s="13">
        <v>3604.4</v>
      </c>
    </row>
    <row r="251" spans="1:3" x14ac:dyDescent="0.2">
      <c r="A251" s="16" t="s">
        <v>263</v>
      </c>
      <c r="B251" s="13">
        <v>221945650</v>
      </c>
      <c r="C251" s="13">
        <v>3659.88</v>
      </c>
    </row>
    <row r="252" spans="1:3" x14ac:dyDescent="0.2">
      <c r="A252" s="16" t="s">
        <v>264</v>
      </c>
      <c r="B252" s="13">
        <v>221945650</v>
      </c>
      <c r="C252" s="13">
        <v>3651.01</v>
      </c>
    </row>
    <row r="253" spans="1:3" x14ac:dyDescent="0.2">
      <c r="A253" s="16" t="s">
        <v>265</v>
      </c>
      <c r="B253" s="13">
        <v>221945650</v>
      </c>
      <c r="C253" s="13">
        <v>3710.93</v>
      </c>
    </row>
    <row r="254" spans="1:3" x14ac:dyDescent="0.2">
      <c r="A254" s="16" t="s">
        <v>266</v>
      </c>
      <c r="B254" s="13">
        <v>221945650</v>
      </c>
      <c r="C254" s="13">
        <v>3708.71</v>
      </c>
    </row>
    <row r="255" spans="1:3" x14ac:dyDescent="0.2">
      <c r="A255" s="16" t="s">
        <v>267</v>
      </c>
      <c r="B255" s="13">
        <v>221945650</v>
      </c>
      <c r="C255" s="13">
        <v>3702.05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0E91-2821-324D-977C-5CF3F26BD87F}">
  <dimension ref="A1:V18"/>
  <sheetViews>
    <sheetView zoomScaleNormal="100" workbookViewId="0">
      <selection activeCell="P15" sqref="P15"/>
    </sheetView>
  </sheetViews>
  <sheetFormatPr baseColWidth="10" defaultColWidth="11.5" defaultRowHeight="13" x14ac:dyDescent="0.15"/>
  <cols>
    <col min="1" max="1" width="31" bestFit="1" customWidth="1"/>
    <col min="2" max="12" width="12.5" customWidth="1"/>
    <col min="13" max="13" width="12.33203125" customWidth="1"/>
    <col min="14" max="14" width="14.1640625" bestFit="1" customWidth="1"/>
    <col min="15" max="15" width="10.1640625" bestFit="1" customWidth="1"/>
  </cols>
  <sheetData>
    <row r="1" spans="1:15" ht="19" x14ac:dyDescent="0.25">
      <c r="A1" s="12"/>
      <c r="B1" s="75">
        <v>41791</v>
      </c>
      <c r="C1" s="75">
        <v>42156</v>
      </c>
      <c r="D1" s="75">
        <v>42522</v>
      </c>
      <c r="E1" s="75">
        <v>42887</v>
      </c>
      <c r="F1" s="75">
        <v>43252</v>
      </c>
      <c r="G1" s="75">
        <v>43617</v>
      </c>
      <c r="H1" s="75">
        <v>43983</v>
      </c>
      <c r="I1" s="75">
        <v>44348</v>
      </c>
      <c r="J1" s="75">
        <v>44713</v>
      </c>
      <c r="K1" s="75">
        <v>45078</v>
      </c>
      <c r="L1" s="75">
        <v>45444</v>
      </c>
      <c r="M1" s="19"/>
      <c r="N1" s="8"/>
      <c r="O1" s="8"/>
    </row>
    <row r="2" spans="1:15" ht="27" customHeight="1" x14ac:dyDescent="0.2">
      <c r="A2" s="12" t="s">
        <v>271</v>
      </c>
      <c r="B2" s="71">
        <v>152</v>
      </c>
      <c r="C2" s="71">
        <v>97</v>
      </c>
      <c r="D2" s="71">
        <v>152</v>
      </c>
      <c r="E2" s="65">
        <v>139</v>
      </c>
      <c r="F2" s="65">
        <v>167</v>
      </c>
      <c r="G2" s="65">
        <v>158</v>
      </c>
      <c r="H2" s="17" t="s">
        <v>272</v>
      </c>
      <c r="I2" s="17" t="s">
        <v>272</v>
      </c>
      <c r="J2" s="17" t="s">
        <v>272</v>
      </c>
      <c r="K2" s="65">
        <v>18</v>
      </c>
      <c r="L2" s="65">
        <v>40</v>
      </c>
      <c r="M2" s="67"/>
    </row>
    <row r="3" spans="1:15" ht="27" customHeight="1" x14ac:dyDescent="0.2">
      <c r="A3" s="12" t="s">
        <v>273</v>
      </c>
      <c r="B3" s="72">
        <v>3.4200000000000001E-2</v>
      </c>
      <c r="C3" s="72">
        <v>2.8400000000000002E-2</v>
      </c>
      <c r="D3" s="72">
        <v>4.8099999999999997E-2</v>
      </c>
      <c r="E3" s="14">
        <v>3.6299999999999999E-2</v>
      </c>
      <c r="F3" s="14">
        <v>2.6200000000000001E-2</v>
      </c>
      <c r="G3" s="14">
        <v>3.7999999999999999E-2</v>
      </c>
      <c r="H3" s="14">
        <v>0</v>
      </c>
      <c r="I3" s="14">
        <v>0</v>
      </c>
      <c r="J3" s="14">
        <v>0</v>
      </c>
      <c r="K3" s="14">
        <v>9.4000000000000004E-3</v>
      </c>
      <c r="L3" s="14">
        <v>1.9800000000000002E-2</v>
      </c>
      <c r="M3" s="67"/>
    </row>
    <row r="4" spans="1:15" ht="18" x14ac:dyDescent="0.2">
      <c r="E4" s="70"/>
      <c r="F4" s="12"/>
      <c r="G4" s="13"/>
      <c r="H4" s="12"/>
      <c r="I4" s="13"/>
      <c r="J4" s="12"/>
      <c r="K4" s="12"/>
      <c r="L4" s="12"/>
      <c r="M4" s="67"/>
    </row>
    <row r="5" spans="1:15" ht="18" x14ac:dyDescent="0.2">
      <c r="E5" s="70"/>
      <c r="F5" s="12"/>
      <c r="G5" s="13"/>
      <c r="H5" s="12"/>
      <c r="I5" s="13"/>
      <c r="J5" s="12"/>
      <c r="K5" s="12"/>
      <c r="L5" s="12"/>
      <c r="M5" s="67"/>
    </row>
    <row r="6" spans="1:15" ht="18" x14ac:dyDescent="0.2">
      <c r="E6" s="70"/>
      <c r="F6" s="12"/>
      <c r="G6" s="13"/>
      <c r="H6" s="12"/>
      <c r="I6" s="13"/>
      <c r="J6" s="12"/>
      <c r="K6" s="12"/>
      <c r="L6" s="12"/>
      <c r="M6" s="67"/>
    </row>
    <row r="7" spans="1:15" ht="18" x14ac:dyDescent="0.2">
      <c r="E7" s="70"/>
      <c r="F7" s="12"/>
      <c r="G7" s="13"/>
      <c r="H7" s="12"/>
      <c r="I7" s="13"/>
      <c r="J7" s="12"/>
      <c r="K7" s="12"/>
      <c r="L7" s="12"/>
      <c r="M7" s="67"/>
    </row>
    <row r="8" spans="1:15" ht="18" x14ac:dyDescent="0.2">
      <c r="E8" s="70"/>
      <c r="F8" s="12"/>
      <c r="G8" s="13"/>
      <c r="H8" s="12"/>
      <c r="I8" s="13"/>
      <c r="J8" s="12"/>
      <c r="K8" s="12"/>
      <c r="L8" s="12"/>
      <c r="M8" s="67"/>
    </row>
    <row r="9" spans="1:15" ht="18" x14ac:dyDescent="0.2">
      <c r="E9" s="70"/>
      <c r="F9" s="12"/>
      <c r="G9" s="13"/>
      <c r="H9" s="12"/>
      <c r="I9" s="13"/>
      <c r="J9" s="12"/>
      <c r="K9" s="12"/>
      <c r="L9" s="12"/>
      <c r="M9" s="67"/>
    </row>
    <row r="10" spans="1:15" ht="18" x14ac:dyDescent="0.2">
      <c r="E10" s="70"/>
      <c r="F10" s="12"/>
      <c r="G10" s="13"/>
      <c r="H10" s="12"/>
      <c r="I10" s="13"/>
      <c r="J10" s="12"/>
      <c r="K10" s="12"/>
      <c r="L10" s="12"/>
      <c r="M10" s="67"/>
    </row>
    <row r="11" spans="1:15" ht="18" x14ac:dyDescent="0.2">
      <c r="E11" s="70"/>
      <c r="F11" s="12"/>
      <c r="G11" s="13"/>
      <c r="H11" s="12"/>
      <c r="I11" s="13"/>
      <c r="J11" s="12"/>
      <c r="K11" s="12"/>
      <c r="L11" s="12"/>
      <c r="M11" s="68"/>
    </row>
    <row r="12" spans="1:15" ht="18" x14ac:dyDescent="0.2">
      <c r="E12" s="70"/>
      <c r="F12" s="12"/>
      <c r="G12" s="13"/>
      <c r="H12" s="12"/>
      <c r="I12" s="13"/>
      <c r="J12" s="12"/>
      <c r="K12" s="12"/>
      <c r="L12" s="12"/>
      <c r="M12" s="67"/>
    </row>
    <row r="13" spans="1:15" ht="18" x14ac:dyDescent="0.2">
      <c r="E13" s="70"/>
      <c r="F13" s="12"/>
      <c r="G13" s="13"/>
      <c r="H13" s="12"/>
      <c r="I13" s="13"/>
      <c r="J13" s="12"/>
      <c r="K13" s="12"/>
      <c r="L13" s="12"/>
      <c r="M13" s="67"/>
    </row>
    <row r="14" spans="1:15" ht="18" x14ac:dyDescent="0.2">
      <c r="E14" s="69"/>
      <c r="F14" s="12"/>
      <c r="G14" s="13"/>
      <c r="H14" s="12"/>
      <c r="I14" s="13"/>
      <c r="J14" s="12"/>
      <c r="K14" s="12"/>
      <c r="L14" s="12"/>
      <c r="M14" s="68"/>
    </row>
    <row r="15" spans="1:15" ht="18" x14ac:dyDescent="0.2">
      <c r="E15" s="69"/>
      <c r="F15" s="12"/>
      <c r="G15" s="13"/>
      <c r="H15" s="12"/>
      <c r="I15" s="13"/>
      <c r="J15" s="12"/>
      <c r="K15" s="12"/>
      <c r="L15" s="12"/>
      <c r="M15" s="68"/>
    </row>
    <row r="16" spans="1:15" ht="18" x14ac:dyDescent="0.2">
      <c r="E16" s="69"/>
      <c r="F16" s="12"/>
      <c r="G16" s="13"/>
      <c r="H16" s="12"/>
      <c r="I16" s="13"/>
      <c r="J16" s="12"/>
      <c r="K16" s="12"/>
      <c r="L16" s="12"/>
      <c r="M16" s="68"/>
    </row>
    <row r="18" spans="15:22" ht="14" x14ac:dyDescent="0.15">
      <c r="O18" s="7"/>
      <c r="P18" s="7"/>
      <c r="Q18" s="7"/>
      <c r="R18" s="7"/>
      <c r="S18" s="7"/>
      <c r="T18" s="7"/>
      <c r="U18" s="7"/>
      <c r="V18" s="7"/>
    </row>
  </sheetData>
  <sortState xmlns:xlrd2="http://schemas.microsoft.com/office/spreadsheetml/2017/richdata2" ref="E2:M16">
    <sortCondition ref="E2:E16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688B-DDCA-6641-B929-0CB5CB4BF013}">
  <dimension ref="A1:L23"/>
  <sheetViews>
    <sheetView workbookViewId="0">
      <selection activeCell="T11" sqref="T11"/>
    </sheetView>
  </sheetViews>
  <sheetFormatPr baseColWidth="10" defaultColWidth="10.83203125" defaultRowHeight="18" x14ac:dyDescent="0.2"/>
  <cols>
    <col min="1" max="1" width="30.6640625" style="12" bestFit="1" customWidth="1"/>
    <col min="2" max="12" width="11" style="12" customWidth="1"/>
    <col min="13" max="16384" width="10.83203125" style="12"/>
  </cols>
  <sheetData>
    <row r="1" spans="1:12" ht="19" x14ac:dyDescent="0.25">
      <c r="B1" s="75">
        <v>41791</v>
      </c>
      <c r="C1" s="75">
        <v>42156</v>
      </c>
      <c r="D1" s="75">
        <v>42522</v>
      </c>
      <c r="E1" s="75">
        <v>42887</v>
      </c>
      <c r="F1" s="75">
        <v>43252</v>
      </c>
      <c r="G1" s="75">
        <v>43617</v>
      </c>
      <c r="H1" s="75">
        <v>43983</v>
      </c>
      <c r="I1" s="75">
        <v>44348</v>
      </c>
      <c r="J1" s="75">
        <v>44713</v>
      </c>
      <c r="K1" s="75">
        <v>45078</v>
      </c>
      <c r="L1" s="75">
        <v>45444</v>
      </c>
    </row>
    <row r="2" spans="1:12" x14ac:dyDescent="0.2">
      <c r="A2" s="73" t="s">
        <v>274</v>
      </c>
      <c r="B2" s="65">
        <v>17.2394</v>
      </c>
      <c r="C2" s="65">
        <v>13.4133</v>
      </c>
      <c r="D2" s="65">
        <v>11.832100000000001</v>
      </c>
      <c r="E2" s="65">
        <v>16.529299999999999</v>
      </c>
      <c r="F2" s="65">
        <v>22.608599999999999</v>
      </c>
      <c r="G2" s="65">
        <v>14.3489</v>
      </c>
      <c r="H2" s="65">
        <v>-3.1040999999999999</v>
      </c>
      <c r="I2" s="65">
        <v>-8.8355999999999995</v>
      </c>
      <c r="J2" s="65">
        <v>-10.7913</v>
      </c>
      <c r="K2" s="65">
        <v>-12.715299999999999</v>
      </c>
      <c r="L2" s="65">
        <v>21.135300000000001</v>
      </c>
    </row>
    <row r="3" spans="1:12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2" x14ac:dyDescent="0.2">
      <c r="D4" s="65"/>
    </row>
    <row r="5" spans="1:12" x14ac:dyDescent="0.2">
      <c r="D5" s="65"/>
    </row>
    <row r="6" spans="1:12" x14ac:dyDescent="0.2">
      <c r="D6" s="65"/>
    </row>
    <row r="7" spans="1:12" x14ac:dyDescent="0.2">
      <c r="D7" s="65"/>
    </row>
    <row r="8" spans="1:12" x14ac:dyDescent="0.2">
      <c r="D8" s="65"/>
    </row>
    <row r="9" spans="1:12" x14ac:dyDescent="0.2">
      <c r="D9" s="65"/>
    </row>
    <row r="10" spans="1:12" x14ac:dyDescent="0.2">
      <c r="D10" s="65"/>
    </row>
    <row r="11" spans="1:12" x14ac:dyDescent="0.2">
      <c r="D11" s="65"/>
    </row>
    <row r="12" spans="1:12" x14ac:dyDescent="0.2">
      <c r="D12" s="65"/>
    </row>
    <row r="13" spans="1:12" x14ac:dyDescent="0.2">
      <c r="D13" s="65"/>
    </row>
    <row r="14" spans="1:12" x14ac:dyDescent="0.2">
      <c r="D14" s="65"/>
    </row>
    <row r="15" spans="1:12" x14ac:dyDescent="0.2">
      <c r="D15" s="65"/>
    </row>
    <row r="16" spans="1:12" x14ac:dyDescent="0.2">
      <c r="D16" s="65"/>
    </row>
    <row r="17" spans="4:6" x14ac:dyDescent="0.2">
      <c r="D17" s="65"/>
    </row>
    <row r="18" spans="4:6" x14ac:dyDescent="0.2">
      <c r="D18" s="65"/>
    </row>
    <row r="19" spans="4:6" x14ac:dyDescent="0.2">
      <c r="D19" s="65"/>
    </row>
    <row r="20" spans="4:6" x14ac:dyDescent="0.2">
      <c r="D20" s="65"/>
    </row>
    <row r="21" spans="4:6" x14ac:dyDescent="0.2">
      <c r="D21" s="65"/>
      <c r="E21" s="74"/>
      <c r="F21" s="74"/>
    </row>
    <row r="22" spans="4:6" x14ac:dyDescent="0.2">
      <c r="D22" s="65"/>
      <c r="E22" s="74"/>
      <c r="F22" s="14"/>
    </row>
    <row r="23" spans="4:6" x14ac:dyDescent="0.2">
      <c r="D23" s="6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651E-F7D0-0A40-A151-309096E57F86}">
  <dimension ref="A1:L255"/>
  <sheetViews>
    <sheetView workbookViewId="0">
      <pane ySplit="1" topLeftCell="A2" activePane="bottomLeft" state="frozen"/>
      <selection pane="bottomLeft" activeCell="I11" sqref="I11"/>
    </sheetView>
  </sheetViews>
  <sheetFormatPr baseColWidth="10" defaultColWidth="11.5" defaultRowHeight="18" x14ac:dyDescent="0.2"/>
  <cols>
    <col min="1" max="1" width="13.1640625" style="16" bestFit="1" customWidth="1"/>
    <col min="2" max="2" width="7.1640625" style="17" bestFit="1" customWidth="1"/>
    <col min="3" max="4" width="8.5" style="17" bestFit="1" customWidth="1"/>
    <col min="5" max="5" width="7.1640625" style="17" bestFit="1" customWidth="1"/>
    <col min="6" max="6" width="15.1640625" style="17" bestFit="1" customWidth="1"/>
    <col min="7" max="7" width="14.33203125" style="12" bestFit="1" customWidth="1"/>
    <col min="8" max="8" width="12" style="12" bestFit="1" customWidth="1"/>
    <col min="9" max="9" width="26.6640625" style="12" bestFit="1" customWidth="1"/>
    <col min="10" max="10" width="10" style="12" bestFit="1" customWidth="1"/>
  </cols>
  <sheetData>
    <row r="1" spans="1:12" ht="19" x14ac:dyDescent="0.25">
      <c r="A1" s="15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275</v>
      </c>
      <c r="H1" s="10" t="s">
        <v>276</v>
      </c>
      <c r="I1" s="10" t="s">
        <v>277</v>
      </c>
      <c r="J1" s="19"/>
    </row>
    <row r="2" spans="1:12" x14ac:dyDescent="0.2">
      <c r="A2" s="16" t="s">
        <v>14</v>
      </c>
      <c r="B2" s="13">
        <v>20.32</v>
      </c>
      <c r="C2" s="13">
        <v>20.56</v>
      </c>
      <c r="D2" s="13">
        <v>20.22</v>
      </c>
      <c r="E2" s="13">
        <v>20.45</v>
      </c>
      <c r="F2" s="13">
        <v>318375</v>
      </c>
      <c r="G2" s="20">
        <f>E2*48</f>
        <v>981.59999999999991</v>
      </c>
      <c r="H2" s="13">
        <f>G2+J$2</f>
        <v>1000</v>
      </c>
      <c r="I2" s="13" t="s">
        <v>278</v>
      </c>
      <c r="J2" s="13">
        <f>1000-(48*E2)</f>
        <v>18.400000000000091</v>
      </c>
      <c r="L2" s="4"/>
    </row>
    <row r="3" spans="1:12" x14ac:dyDescent="0.2">
      <c r="A3" s="16" t="s">
        <v>15</v>
      </c>
      <c r="B3" s="13">
        <v>20.190000000000001</v>
      </c>
      <c r="C3" s="13">
        <v>20.36</v>
      </c>
      <c r="D3" s="13">
        <v>20.16</v>
      </c>
      <c r="E3" s="13">
        <v>20.32</v>
      </c>
      <c r="F3" s="13">
        <v>486861</v>
      </c>
      <c r="G3" s="21">
        <f t="shared" ref="G3:G66" si="0">E3*48</f>
        <v>975.36</v>
      </c>
      <c r="H3" s="13">
        <f t="shared" ref="H3:H66" si="1">G3+J$2</f>
        <v>993.7600000000001</v>
      </c>
      <c r="I3" s="13" t="s">
        <v>279</v>
      </c>
      <c r="J3" s="13">
        <f>0.4</f>
        <v>0.4</v>
      </c>
    </row>
    <row r="4" spans="1:12" x14ac:dyDescent="0.2">
      <c r="A4" s="16" t="s">
        <v>16</v>
      </c>
      <c r="B4" s="13">
        <v>20.21</v>
      </c>
      <c r="C4" s="13">
        <v>20.260000000000002</v>
      </c>
      <c r="D4" s="13">
        <v>19.88</v>
      </c>
      <c r="E4" s="13">
        <v>20.02</v>
      </c>
      <c r="F4" s="13">
        <v>556995</v>
      </c>
      <c r="G4" s="21">
        <f t="shared" si="0"/>
        <v>960.96</v>
      </c>
      <c r="H4" s="13">
        <f t="shared" si="1"/>
        <v>979.36000000000013</v>
      </c>
      <c r="I4" s="12" t="s">
        <v>280</v>
      </c>
      <c r="J4" s="22">
        <f>H255+J3*48</f>
        <v>838.24000000000012</v>
      </c>
    </row>
    <row r="5" spans="1:12" x14ac:dyDescent="0.2">
      <c r="A5" s="16" t="s">
        <v>17</v>
      </c>
      <c r="B5" s="13">
        <v>20.05</v>
      </c>
      <c r="C5" s="13">
        <v>20.09</v>
      </c>
      <c r="D5" s="13">
        <v>19.920000000000002</v>
      </c>
      <c r="E5" s="13">
        <v>19.98</v>
      </c>
      <c r="F5" s="13">
        <v>278345</v>
      </c>
      <c r="G5" s="21">
        <f t="shared" si="0"/>
        <v>959.04</v>
      </c>
      <c r="H5" s="13">
        <f t="shared" si="1"/>
        <v>977.44</v>
      </c>
      <c r="I5" s="12" t="s">
        <v>281</v>
      </c>
      <c r="J5" s="23">
        <f>(J4-H2)/H2</f>
        <v>-0.16175999999999988</v>
      </c>
    </row>
    <row r="6" spans="1:12" x14ac:dyDescent="0.2">
      <c r="A6" s="16" t="s">
        <v>18</v>
      </c>
      <c r="B6" s="13">
        <v>19.989999999999998</v>
      </c>
      <c r="C6" s="13">
        <v>20.079999999999998</v>
      </c>
      <c r="D6" s="13">
        <v>19.71</v>
      </c>
      <c r="E6" s="13">
        <v>19.86</v>
      </c>
      <c r="F6" s="13">
        <v>319034</v>
      </c>
      <c r="G6" s="21">
        <f t="shared" si="0"/>
        <v>953.28</v>
      </c>
      <c r="H6" s="13">
        <f t="shared" si="1"/>
        <v>971.68000000000006</v>
      </c>
    </row>
    <row r="7" spans="1:12" x14ac:dyDescent="0.2">
      <c r="A7" s="16" t="s">
        <v>19</v>
      </c>
      <c r="B7" s="13">
        <v>20.079999999999998</v>
      </c>
      <c r="C7" s="13">
        <v>20.39</v>
      </c>
      <c r="D7" s="13">
        <v>19.989999999999998</v>
      </c>
      <c r="E7" s="13">
        <v>20.39</v>
      </c>
      <c r="F7" s="13">
        <v>409517</v>
      </c>
      <c r="G7" s="21">
        <f t="shared" si="0"/>
        <v>978.72</v>
      </c>
      <c r="H7" s="13">
        <f t="shared" si="1"/>
        <v>997.12000000000012</v>
      </c>
    </row>
    <row r="8" spans="1:12" x14ac:dyDescent="0.2">
      <c r="A8" s="16" t="s">
        <v>20</v>
      </c>
      <c r="B8" s="13">
        <v>20.28</v>
      </c>
      <c r="C8" s="13">
        <v>20.7</v>
      </c>
      <c r="D8" s="13">
        <v>20</v>
      </c>
      <c r="E8" s="13">
        <v>20.56</v>
      </c>
      <c r="F8" s="13">
        <v>596294</v>
      </c>
      <c r="G8" s="21">
        <f t="shared" si="0"/>
        <v>986.87999999999988</v>
      </c>
      <c r="H8" s="13">
        <f t="shared" si="1"/>
        <v>1005.28</v>
      </c>
    </row>
    <row r="9" spans="1:12" x14ac:dyDescent="0.2">
      <c r="A9" s="16" t="s">
        <v>21</v>
      </c>
      <c r="B9" s="13">
        <v>20.66</v>
      </c>
      <c r="C9" s="13">
        <v>20.73</v>
      </c>
      <c r="D9" s="13">
        <v>20.56</v>
      </c>
      <c r="E9" s="13">
        <v>20.7</v>
      </c>
      <c r="F9" s="13">
        <v>661417</v>
      </c>
      <c r="G9" s="21">
        <f t="shared" si="0"/>
        <v>993.59999999999991</v>
      </c>
      <c r="H9" s="13">
        <f t="shared" si="1"/>
        <v>1012</v>
      </c>
    </row>
    <row r="10" spans="1:12" x14ac:dyDescent="0.2">
      <c r="A10" s="16" t="s">
        <v>22</v>
      </c>
      <c r="B10" s="13">
        <v>20.54</v>
      </c>
      <c r="C10" s="13">
        <v>20.59</v>
      </c>
      <c r="D10" s="13">
        <v>20.350000000000001</v>
      </c>
      <c r="E10" s="13">
        <v>20.43</v>
      </c>
      <c r="F10" s="13">
        <v>992725</v>
      </c>
      <c r="G10" s="21">
        <f t="shared" si="0"/>
        <v>980.64</v>
      </c>
      <c r="H10" s="13">
        <f t="shared" si="1"/>
        <v>999.04000000000008</v>
      </c>
    </row>
    <row r="11" spans="1:12" x14ac:dyDescent="0.2">
      <c r="A11" s="16" t="s">
        <v>23</v>
      </c>
      <c r="B11" s="13">
        <v>20.309999999999999</v>
      </c>
      <c r="C11" s="13">
        <v>20.66</v>
      </c>
      <c r="D11" s="13">
        <v>20.29</v>
      </c>
      <c r="E11" s="13">
        <v>20.55</v>
      </c>
      <c r="F11" s="13">
        <v>336200</v>
      </c>
      <c r="G11" s="21">
        <f t="shared" si="0"/>
        <v>986.40000000000009</v>
      </c>
      <c r="H11" s="13">
        <f t="shared" si="1"/>
        <v>1004.8000000000002</v>
      </c>
    </row>
    <row r="12" spans="1:12" x14ac:dyDescent="0.2">
      <c r="A12" s="16" t="s">
        <v>24</v>
      </c>
      <c r="B12" s="13">
        <v>20.59</v>
      </c>
      <c r="C12" s="13">
        <v>20.65</v>
      </c>
      <c r="D12" s="13">
        <v>20.420000000000002</v>
      </c>
      <c r="E12" s="13">
        <v>20.55</v>
      </c>
      <c r="F12" s="13">
        <v>383641</v>
      </c>
      <c r="G12" s="21">
        <f t="shared" si="0"/>
        <v>986.40000000000009</v>
      </c>
      <c r="H12" s="13">
        <f t="shared" si="1"/>
        <v>1004.8000000000002</v>
      </c>
    </row>
    <row r="13" spans="1:12" x14ac:dyDescent="0.2">
      <c r="A13" s="16" t="s">
        <v>25</v>
      </c>
      <c r="B13" s="13">
        <v>20.55</v>
      </c>
      <c r="C13" s="13">
        <v>20.58</v>
      </c>
      <c r="D13" s="13">
        <v>20.37</v>
      </c>
      <c r="E13" s="13">
        <v>20.5</v>
      </c>
      <c r="F13" s="13">
        <v>564314</v>
      </c>
      <c r="G13" s="21">
        <f t="shared" si="0"/>
        <v>984</v>
      </c>
      <c r="H13" s="13">
        <f t="shared" si="1"/>
        <v>1002.4000000000001</v>
      </c>
    </row>
    <row r="14" spans="1:12" x14ac:dyDescent="0.2">
      <c r="A14" s="16" t="s">
        <v>26</v>
      </c>
      <c r="B14" s="13">
        <v>20.46</v>
      </c>
      <c r="C14" s="13">
        <v>20.64</v>
      </c>
      <c r="D14" s="13">
        <v>20.41</v>
      </c>
      <c r="E14" s="13">
        <v>20.63</v>
      </c>
      <c r="F14" s="13">
        <v>538674</v>
      </c>
      <c r="G14" s="21">
        <f t="shared" si="0"/>
        <v>990.24</v>
      </c>
      <c r="H14" s="13">
        <f t="shared" si="1"/>
        <v>1008.6400000000001</v>
      </c>
    </row>
    <row r="15" spans="1:12" x14ac:dyDescent="0.2">
      <c r="A15" s="16" t="s">
        <v>27</v>
      </c>
      <c r="B15" s="13">
        <v>20.9</v>
      </c>
      <c r="C15" s="13">
        <v>21.06</v>
      </c>
      <c r="D15" s="13">
        <v>20.75</v>
      </c>
      <c r="E15" s="13">
        <v>21.03</v>
      </c>
      <c r="F15" s="13">
        <v>875464</v>
      </c>
      <c r="G15" s="21">
        <f t="shared" si="0"/>
        <v>1009.44</v>
      </c>
      <c r="H15" s="13">
        <f t="shared" si="1"/>
        <v>1027.8400000000001</v>
      </c>
    </row>
    <row r="16" spans="1:12" x14ac:dyDescent="0.2">
      <c r="A16" s="16" t="s">
        <v>28</v>
      </c>
      <c r="B16" s="13">
        <v>21.07</v>
      </c>
      <c r="C16" s="13">
        <v>21.21</v>
      </c>
      <c r="D16" s="13">
        <v>20.89</v>
      </c>
      <c r="E16" s="13">
        <v>21.15</v>
      </c>
      <c r="F16" s="13">
        <v>437343</v>
      </c>
      <c r="G16" s="21">
        <f t="shared" si="0"/>
        <v>1015.1999999999999</v>
      </c>
      <c r="H16" s="13">
        <f t="shared" si="1"/>
        <v>1033.5999999999999</v>
      </c>
    </row>
    <row r="17" spans="1:8" x14ac:dyDescent="0.2">
      <c r="A17" s="16" t="s">
        <v>29</v>
      </c>
      <c r="B17" s="13">
        <v>21.14</v>
      </c>
      <c r="C17" s="13">
        <v>21.14</v>
      </c>
      <c r="D17" s="13">
        <v>20.88</v>
      </c>
      <c r="E17" s="13">
        <v>21.08</v>
      </c>
      <c r="F17" s="13">
        <v>541591</v>
      </c>
      <c r="G17" s="21">
        <f t="shared" si="0"/>
        <v>1011.8399999999999</v>
      </c>
      <c r="H17" s="13">
        <f t="shared" si="1"/>
        <v>1030.24</v>
      </c>
    </row>
    <row r="18" spans="1:8" x14ac:dyDescent="0.2">
      <c r="A18" s="16" t="s">
        <v>30</v>
      </c>
      <c r="B18" s="13">
        <v>21.05</v>
      </c>
      <c r="C18" s="13">
        <v>21.05</v>
      </c>
      <c r="D18" s="13">
        <v>20.81</v>
      </c>
      <c r="E18" s="13">
        <v>21.04</v>
      </c>
      <c r="F18" s="13">
        <v>377108</v>
      </c>
      <c r="G18" s="21">
        <f t="shared" si="0"/>
        <v>1009.92</v>
      </c>
      <c r="H18" s="13">
        <f t="shared" si="1"/>
        <v>1028.3200000000002</v>
      </c>
    </row>
    <row r="19" spans="1:8" x14ac:dyDescent="0.2">
      <c r="A19" s="16" t="s">
        <v>31</v>
      </c>
      <c r="B19" s="13">
        <v>21.11</v>
      </c>
      <c r="C19" s="13">
        <v>21.11</v>
      </c>
      <c r="D19" s="13">
        <v>20.82</v>
      </c>
      <c r="E19" s="13">
        <v>21.01</v>
      </c>
      <c r="F19" s="13">
        <v>330863</v>
      </c>
      <c r="G19" s="21">
        <f t="shared" si="0"/>
        <v>1008.48</v>
      </c>
      <c r="H19" s="13">
        <f t="shared" si="1"/>
        <v>1026.8800000000001</v>
      </c>
    </row>
    <row r="20" spans="1:8" x14ac:dyDescent="0.2">
      <c r="A20" s="16" t="s">
        <v>32</v>
      </c>
      <c r="B20" s="13">
        <v>20.97</v>
      </c>
      <c r="C20" s="13">
        <v>21.19</v>
      </c>
      <c r="D20" s="13">
        <v>20.85</v>
      </c>
      <c r="E20" s="13">
        <v>21.18</v>
      </c>
      <c r="F20" s="13">
        <v>636085</v>
      </c>
      <c r="G20" s="21">
        <f t="shared" si="0"/>
        <v>1016.64</v>
      </c>
      <c r="H20" s="13">
        <f t="shared" si="1"/>
        <v>1035.04</v>
      </c>
    </row>
    <row r="21" spans="1:8" x14ac:dyDescent="0.2">
      <c r="A21" s="16" t="s">
        <v>33</v>
      </c>
      <c r="B21" s="13">
        <v>21.19</v>
      </c>
      <c r="C21" s="13">
        <v>21.43</v>
      </c>
      <c r="D21" s="13">
        <v>20.9</v>
      </c>
      <c r="E21" s="13">
        <v>21.04</v>
      </c>
      <c r="F21" s="13">
        <v>735780</v>
      </c>
      <c r="G21" s="21">
        <f t="shared" si="0"/>
        <v>1009.92</v>
      </c>
      <c r="H21" s="13">
        <f t="shared" si="1"/>
        <v>1028.3200000000002</v>
      </c>
    </row>
    <row r="22" spans="1:8" x14ac:dyDescent="0.2">
      <c r="A22" s="16" t="s">
        <v>34</v>
      </c>
      <c r="B22" s="13">
        <v>21.04</v>
      </c>
      <c r="C22" s="13">
        <v>21.29</v>
      </c>
      <c r="D22" s="13">
        <v>20.86</v>
      </c>
      <c r="E22" s="13">
        <v>21.29</v>
      </c>
      <c r="F22" s="13">
        <v>672594</v>
      </c>
      <c r="G22" s="21">
        <f t="shared" si="0"/>
        <v>1021.92</v>
      </c>
      <c r="H22" s="13">
        <f t="shared" si="1"/>
        <v>1040.3200000000002</v>
      </c>
    </row>
    <row r="23" spans="1:8" x14ac:dyDescent="0.2">
      <c r="A23" s="16" t="s">
        <v>35</v>
      </c>
      <c r="B23" s="13">
        <v>21.24</v>
      </c>
      <c r="C23" s="13">
        <v>21.29</v>
      </c>
      <c r="D23" s="13">
        <v>20.875</v>
      </c>
      <c r="E23" s="13">
        <v>21.29</v>
      </c>
      <c r="F23" s="13">
        <v>638630</v>
      </c>
      <c r="G23" s="21">
        <f t="shared" si="0"/>
        <v>1021.92</v>
      </c>
      <c r="H23" s="13">
        <f t="shared" si="1"/>
        <v>1040.3200000000002</v>
      </c>
    </row>
    <row r="24" spans="1:8" x14ac:dyDescent="0.2">
      <c r="A24" s="16" t="s">
        <v>36</v>
      </c>
      <c r="B24" s="13">
        <v>21.39</v>
      </c>
      <c r="C24" s="13">
        <v>21.58</v>
      </c>
      <c r="D24" s="13">
        <v>20.93</v>
      </c>
      <c r="E24" s="13">
        <v>21.57</v>
      </c>
      <c r="F24" s="13">
        <v>945534</v>
      </c>
      <c r="G24" s="21">
        <f t="shared" si="0"/>
        <v>1035.3600000000001</v>
      </c>
      <c r="H24" s="13">
        <f t="shared" si="1"/>
        <v>1053.7600000000002</v>
      </c>
    </row>
    <row r="25" spans="1:8" x14ac:dyDescent="0.2">
      <c r="A25" s="16" t="s">
        <v>37</v>
      </c>
      <c r="B25" s="13">
        <v>21.55</v>
      </c>
      <c r="C25" s="13">
        <v>21.62</v>
      </c>
      <c r="D25" s="13">
        <v>21.31</v>
      </c>
      <c r="E25" s="13">
        <v>21.6</v>
      </c>
      <c r="F25" s="13">
        <v>494964</v>
      </c>
      <c r="G25" s="21">
        <f t="shared" si="0"/>
        <v>1036.8000000000002</v>
      </c>
      <c r="H25" s="13">
        <f t="shared" si="1"/>
        <v>1055.2000000000003</v>
      </c>
    </row>
    <row r="26" spans="1:8" x14ac:dyDescent="0.2">
      <c r="A26" s="16" t="s">
        <v>38</v>
      </c>
      <c r="B26" s="13">
        <v>21.49</v>
      </c>
      <c r="C26" s="13">
        <v>21.78</v>
      </c>
      <c r="D26" s="13">
        <v>21.38</v>
      </c>
      <c r="E26" s="13">
        <v>21.78</v>
      </c>
      <c r="F26" s="13">
        <v>438805</v>
      </c>
      <c r="G26" s="21">
        <f t="shared" si="0"/>
        <v>1045.44</v>
      </c>
      <c r="H26" s="13">
        <f t="shared" si="1"/>
        <v>1063.8400000000001</v>
      </c>
    </row>
    <row r="27" spans="1:8" x14ac:dyDescent="0.2">
      <c r="A27" s="16" t="s">
        <v>39</v>
      </c>
      <c r="B27" s="13">
        <v>21.78</v>
      </c>
      <c r="C27" s="13">
        <v>21.87</v>
      </c>
      <c r="D27" s="13">
        <v>21.7</v>
      </c>
      <c r="E27" s="13">
        <v>21.85</v>
      </c>
      <c r="F27" s="13">
        <v>667977</v>
      </c>
      <c r="G27" s="21">
        <f t="shared" si="0"/>
        <v>1048.8000000000002</v>
      </c>
      <c r="H27" s="13">
        <f t="shared" si="1"/>
        <v>1067.2000000000003</v>
      </c>
    </row>
    <row r="28" spans="1:8" x14ac:dyDescent="0.2">
      <c r="A28" s="16" t="s">
        <v>40</v>
      </c>
      <c r="B28" s="13">
        <v>21.86</v>
      </c>
      <c r="C28" s="13">
        <v>21.95</v>
      </c>
      <c r="D28" s="13">
        <v>21.58</v>
      </c>
      <c r="E28" s="13">
        <v>21.73</v>
      </c>
      <c r="F28" s="13">
        <v>707464</v>
      </c>
      <c r="G28" s="21">
        <f t="shared" si="0"/>
        <v>1043.04</v>
      </c>
      <c r="H28" s="13">
        <f t="shared" si="1"/>
        <v>1061.44</v>
      </c>
    </row>
    <row r="29" spans="1:8" x14ac:dyDescent="0.2">
      <c r="A29" s="16" t="s">
        <v>41</v>
      </c>
      <c r="B29" s="13">
        <v>21.63</v>
      </c>
      <c r="C29" s="13">
        <v>21.73</v>
      </c>
      <c r="D29" s="13">
        <v>21.43</v>
      </c>
      <c r="E29" s="13">
        <v>21.56</v>
      </c>
      <c r="F29" s="13">
        <v>319291</v>
      </c>
      <c r="G29" s="21">
        <f t="shared" si="0"/>
        <v>1034.8799999999999</v>
      </c>
      <c r="H29" s="13">
        <f t="shared" si="1"/>
        <v>1053.28</v>
      </c>
    </row>
    <row r="30" spans="1:8" x14ac:dyDescent="0.2">
      <c r="A30" s="16" t="s">
        <v>42</v>
      </c>
      <c r="B30" s="13">
        <v>21.6</v>
      </c>
      <c r="C30" s="13">
        <v>21.7</v>
      </c>
      <c r="D30" s="13">
        <v>21.4</v>
      </c>
      <c r="E30" s="13">
        <v>21.48</v>
      </c>
      <c r="F30" s="13">
        <v>250349</v>
      </c>
      <c r="G30" s="21">
        <f t="shared" si="0"/>
        <v>1031.04</v>
      </c>
      <c r="H30" s="13">
        <f t="shared" si="1"/>
        <v>1049.44</v>
      </c>
    </row>
    <row r="31" spans="1:8" x14ac:dyDescent="0.2">
      <c r="A31" s="16" t="s">
        <v>43</v>
      </c>
      <c r="B31" s="13">
        <v>21.45</v>
      </c>
      <c r="C31" s="13">
        <v>21.48</v>
      </c>
      <c r="D31" s="13">
        <v>21.23</v>
      </c>
      <c r="E31" s="13">
        <v>21.37</v>
      </c>
      <c r="F31" s="13">
        <v>416375</v>
      </c>
      <c r="G31" s="21">
        <f t="shared" si="0"/>
        <v>1025.76</v>
      </c>
      <c r="H31" s="13">
        <f t="shared" si="1"/>
        <v>1044.1600000000001</v>
      </c>
    </row>
    <row r="32" spans="1:8" x14ac:dyDescent="0.2">
      <c r="A32" s="16" t="s">
        <v>44</v>
      </c>
      <c r="B32" s="13">
        <v>21.2</v>
      </c>
      <c r="C32" s="13">
        <v>21.37</v>
      </c>
      <c r="D32" s="13">
        <v>21.04</v>
      </c>
      <c r="E32" s="13">
        <v>21.37</v>
      </c>
      <c r="F32" s="13">
        <v>401944</v>
      </c>
      <c r="G32" s="21">
        <f t="shared" si="0"/>
        <v>1025.76</v>
      </c>
      <c r="H32" s="13">
        <f t="shared" si="1"/>
        <v>1044.1600000000001</v>
      </c>
    </row>
    <row r="33" spans="1:8" x14ac:dyDescent="0.2">
      <c r="A33" s="16" t="s">
        <v>45</v>
      </c>
      <c r="B33" s="13">
        <v>21.45</v>
      </c>
      <c r="C33" s="13">
        <v>21.84</v>
      </c>
      <c r="D33" s="13">
        <v>21.41</v>
      </c>
      <c r="E33" s="13">
        <v>21.77</v>
      </c>
      <c r="F33" s="13">
        <v>677311</v>
      </c>
      <c r="G33" s="21">
        <f t="shared" si="0"/>
        <v>1044.96</v>
      </c>
      <c r="H33" s="13">
        <f t="shared" si="1"/>
        <v>1063.3600000000001</v>
      </c>
    </row>
    <row r="34" spans="1:8" x14ac:dyDescent="0.2">
      <c r="A34" s="16" t="s">
        <v>46</v>
      </c>
      <c r="B34" s="13">
        <v>21.84</v>
      </c>
      <c r="C34" s="13">
        <v>21.88</v>
      </c>
      <c r="D34" s="13">
        <v>21.55</v>
      </c>
      <c r="E34" s="13">
        <v>21.73</v>
      </c>
      <c r="F34" s="13">
        <v>915424</v>
      </c>
      <c r="G34" s="21">
        <f t="shared" si="0"/>
        <v>1043.04</v>
      </c>
      <c r="H34" s="13">
        <f t="shared" si="1"/>
        <v>1061.44</v>
      </c>
    </row>
    <row r="35" spans="1:8" x14ac:dyDescent="0.2">
      <c r="A35" s="16" t="s">
        <v>47</v>
      </c>
      <c r="B35" s="13">
        <v>21.64</v>
      </c>
      <c r="C35" s="13">
        <v>21.72</v>
      </c>
      <c r="D35" s="13">
        <v>21.44</v>
      </c>
      <c r="E35" s="13">
        <v>21.7</v>
      </c>
      <c r="F35" s="13">
        <v>1164179</v>
      </c>
      <c r="G35" s="21">
        <f t="shared" si="0"/>
        <v>1041.5999999999999</v>
      </c>
      <c r="H35" s="13">
        <f t="shared" si="1"/>
        <v>1060</v>
      </c>
    </row>
    <row r="36" spans="1:8" x14ac:dyDescent="0.2">
      <c r="A36" s="16" t="s">
        <v>48</v>
      </c>
      <c r="B36" s="13">
        <v>21.65</v>
      </c>
      <c r="C36" s="13">
        <v>21.82</v>
      </c>
      <c r="D36" s="13">
        <v>21.48</v>
      </c>
      <c r="E36" s="13">
        <v>21.73</v>
      </c>
      <c r="F36" s="13">
        <v>638221</v>
      </c>
      <c r="G36" s="21">
        <f t="shared" si="0"/>
        <v>1043.04</v>
      </c>
      <c r="H36" s="13">
        <f t="shared" si="1"/>
        <v>1061.44</v>
      </c>
    </row>
    <row r="37" spans="1:8" x14ac:dyDescent="0.2">
      <c r="A37" s="16" t="s">
        <v>49</v>
      </c>
      <c r="B37" s="13">
        <v>21.5</v>
      </c>
      <c r="C37" s="13">
        <v>21.6</v>
      </c>
      <c r="D37" s="13">
        <v>21.16</v>
      </c>
      <c r="E37" s="13">
        <v>21.31</v>
      </c>
      <c r="F37" s="13">
        <v>1317362</v>
      </c>
      <c r="G37" s="21">
        <f t="shared" si="0"/>
        <v>1022.8799999999999</v>
      </c>
      <c r="H37" s="13">
        <f t="shared" si="1"/>
        <v>1041.28</v>
      </c>
    </row>
    <row r="38" spans="1:8" x14ac:dyDescent="0.2">
      <c r="A38" s="16" t="s">
        <v>50</v>
      </c>
      <c r="B38" s="13">
        <v>21.2</v>
      </c>
      <c r="C38" s="13">
        <v>21.64</v>
      </c>
      <c r="D38" s="13">
        <v>21.15</v>
      </c>
      <c r="E38" s="13">
        <v>21.55</v>
      </c>
      <c r="F38" s="13">
        <v>734129</v>
      </c>
      <c r="G38" s="21">
        <f t="shared" si="0"/>
        <v>1034.4000000000001</v>
      </c>
      <c r="H38" s="13">
        <f t="shared" si="1"/>
        <v>1052.8000000000002</v>
      </c>
    </row>
    <row r="39" spans="1:8" x14ac:dyDescent="0.2">
      <c r="A39" s="16" t="s">
        <v>51</v>
      </c>
      <c r="B39" s="13">
        <v>21.5</v>
      </c>
      <c r="C39" s="13">
        <v>21.84</v>
      </c>
      <c r="D39" s="13">
        <v>21.4</v>
      </c>
      <c r="E39" s="13">
        <v>21.82</v>
      </c>
      <c r="F39" s="13">
        <v>842911</v>
      </c>
      <c r="G39" s="21">
        <f t="shared" si="0"/>
        <v>1047.3600000000001</v>
      </c>
      <c r="H39" s="13">
        <f t="shared" si="1"/>
        <v>1065.7600000000002</v>
      </c>
    </row>
    <row r="40" spans="1:8" x14ac:dyDescent="0.2">
      <c r="A40" s="16" t="s">
        <v>52</v>
      </c>
      <c r="B40" s="13">
        <v>21.83</v>
      </c>
      <c r="C40" s="13">
        <v>21.93</v>
      </c>
      <c r="D40" s="13">
        <v>21.09</v>
      </c>
      <c r="E40" s="13">
        <v>21.34</v>
      </c>
      <c r="F40" s="13">
        <v>770535</v>
      </c>
      <c r="G40" s="21">
        <f t="shared" si="0"/>
        <v>1024.32</v>
      </c>
      <c r="H40" s="13">
        <f t="shared" si="1"/>
        <v>1042.72</v>
      </c>
    </row>
    <row r="41" spans="1:8" x14ac:dyDescent="0.2">
      <c r="A41" s="16" t="s">
        <v>53</v>
      </c>
      <c r="B41" s="13">
        <v>21.34</v>
      </c>
      <c r="C41" s="13">
        <v>21.73</v>
      </c>
      <c r="D41" s="13">
        <v>21.12</v>
      </c>
      <c r="E41" s="13">
        <v>21.73</v>
      </c>
      <c r="F41" s="13">
        <v>1180856</v>
      </c>
      <c r="G41" s="21">
        <f t="shared" si="0"/>
        <v>1043.04</v>
      </c>
      <c r="H41" s="13">
        <f t="shared" si="1"/>
        <v>1061.44</v>
      </c>
    </row>
    <row r="42" spans="1:8" x14ac:dyDescent="0.2">
      <c r="A42" s="16" t="s">
        <v>54</v>
      </c>
      <c r="B42" s="13">
        <v>21.36</v>
      </c>
      <c r="C42" s="13">
        <v>21.43</v>
      </c>
      <c r="D42" s="13">
        <v>19.88</v>
      </c>
      <c r="E42" s="13">
        <v>20.89</v>
      </c>
      <c r="F42" s="13">
        <v>3551302</v>
      </c>
      <c r="G42" s="21">
        <f t="shared" si="0"/>
        <v>1002.72</v>
      </c>
      <c r="H42" s="13">
        <f t="shared" si="1"/>
        <v>1021.1200000000001</v>
      </c>
    </row>
    <row r="43" spans="1:8" x14ac:dyDescent="0.2">
      <c r="A43" s="16" t="s">
        <v>55</v>
      </c>
      <c r="B43" s="13">
        <v>20.65</v>
      </c>
      <c r="C43" s="13">
        <v>21.64</v>
      </c>
      <c r="D43" s="13">
        <v>20.6</v>
      </c>
      <c r="E43" s="13">
        <v>21.41</v>
      </c>
      <c r="F43" s="13">
        <v>2472807</v>
      </c>
      <c r="G43" s="21">
        <f t="shared" si="0"/>
        <v>1027.68</v>
      </c>
      <c r="H43" s="13">
        <f t="shared" si="1"/>
        <v>1046.0800000000002</v>
      </c>
    </row>
    <row r="44" spans="1:8" x14ac:dyDescent="0.2">
      <c r="A44" s="16" t="s">
        <v>56</v>
      </c>
      <c r="B44" s="13">
        <v>21.25</v>
      </c>
      <c r="C44" s="13">
        <v>21.93</v>
      </c>
      <c r="D44" s="13">
        <v>21.24</v>
      </c>
      <c r="E44" s="13">
        <v>21.82</v>
      </c>
      <c r="F44" s="13">
        <v>1557158</v>
      </c>
      <c r="G44" s="21">
        <f t="shared" si="0"/>
        <v>1047.3600000000001</v>
      </c>
      <c r="H44" s="13">
        <f t="shared" si="1"/>
        <v>1065.7600000000002</v>
      </c>
    </row>
    <row r="45" spans="1:8" x14ac:dyDescent="0.2">
      <c r="A45" s="16" t="s">
        <v>57</v>
      </c>
      <c r="B45" s="13">
        <v>21.2</v>
      </c>
      <c r="C45" s="13">
        <v>21.57</v>
      </c>
      <c r="D45" s="13">
        <v>21.09</v>
      </c>
      <c r="E45" s="13">
        <v>21.09</v>
      </c>
      <c r="F45" s="13">
        <v>1274832</v>
      </c>
      <c r="G45" s="21">
        <f t="shared" si="0"/>
        <v>1012.3199999999999</v>
      </c>
      <c r="H45" s="13">
        <f t="shared" si="1"/>
        <v>1030.72</v>
      </c>
    </row>
    <row r="46" spans="1:8" x14ac:dyDescent="0.2">
      <c r="A46" s="16" t="s">
        <v>58</v>
      </c>
      <c r="B46" s="13">
        <v>20.76</v>
      </c>
      <c r="C46" s="13">
        <v>21.23</v>
      </c>
      <c r="D46" s="13">
        <v>20.5</v>
      </c>
      <c r="E46" s="13">
        <v>20.53</v>
      </c>
      <c r="F46" s="13">
        <v>1265085</v>
      </c>
      <c r="G46" s="21">
        <f t="shared" si="0"/>
        <v>985.44</v>
      </c>
      <c r="H46" s="13">
        <f t="shared" si="1"/>
        <v>1003.8400000000001</v>
      </c>
    </row>
    <row r="47" spans="1:8" x14ac:dyDescent="0.2">
      <c r="A47" s="16" t="s">
        <v>59</v>
      </c>
      <c r="B47" s="13">
        <v>20.55</v>
      </c>
      <c r="C47" s="13">
        <v>20.88</v>
      </c>
      <c r="D47" s="13">
        <v>20.5</v>
      </c>
      <c r="E47" s="13">
        <v>20.8</v>
      </c>
      <c r="F47" s="13">
        <v>922278</v>
      </c>
      <c r="G47" s="21">
        <f t="shared" si="0"/>
        <v>998.40000000000009</v>
      </c>
      <c r="H47" s="13">
        <f t="shared" si="1"/>
        <v>1016.8000000000002</v>
      </c>
    </row>
    <row r="48" spans="1:8" x14ac:dyDescent="0.2">
      <c r="A48" s="16" t="s">
        <v>60</v>
      </c>
      <c r="B48" s="13">
        <v>20.67</v>
      </c>
      <c r="C48" s="13">
        <v>21.08</v>
      </c>
      <c r="D48" s="13">
        <v>20.67</v>
      </c>
      <c r="E48" s="13">
        <v>21.08</v>
      </c>
      <c r="F48" s="13">
        <v>666957</v>
      </c>
      <c r="G48" s="21">
        <f t="shared" si="0"/>
        <v>1011.8399999999999</v>
      </c>
      <c r="H48" s="13">
        <f t="shared" si="1"/>
        <v>1030.24</v>
      </c>
    </row>
    <row r="49" spans="1:8" x14ac:dyDescent="0.2">
      <c r="A49" s="16" t="s">
        <v>61</v>
      </c>
      <c r="B49" s="13">
        <v>20.98</v>
      </c>
      <c r="C49" s="13">
        <v>21.6</v>
      </c>
      <c r="D49" s="13">
        <v>20.98</v>
      </c>
      <c r="E49" s="13">
        <v>21.59</v>
      </c>
      <c r="F49" s="13">
        <v>1400949</v>
      </c>
      <c r="G49" s="21">
        <f t="shared" si="0"/>
        <v>1036.32</v>
      </c>
      <c r="H49" s="13">
        <f t="shared" si="1"/>
        <v>1054.72</v>
      </c>
    </row>
    <row r="50" spans="1:8" x14ac:dyDescent="0.2">
      <c r="A50" s="16" t="s">
        <v>62</v>
      </c>
      <c r="B50" s="13">
        <v>21.21</v>
      </c>
      <c r="C50" s="13">
        <v>21.65</v>
      </c>
      <c r="D50" s="13">
        <v>21.21</v>
      </c>
      <c r="E50" s="13">
        <v>21.51</v>
      </c>
      <c r="F50" s="13">
        <v>557773</v>
      </c>
      <c r="G50" s="21">
        <f t="shared" si="0"/>
        <v>1032.48</v>
      </c>
      <c r="H50" s="13">
        <f t="shared" si="1"/>
        <v>1050.8800000000001</v>
      </c>
    </row>
    <row r="51" spans="1:8" x14ac:dyDescent="0.2">
      <c r="A51" s="16" t="s">
        <v>63</v>
      </c>
      <c r="B51" s="13">
        <v>21.38</v>
      </c>
      <c r="C51" s="13">
        <v>21.97</v>
      </c>
      <c r="D51" s="13">
        <v>21.38</v>
      </c>
      <c r="E51" s="13">
        <v>21.73</v>
      </c>
      <c r="F51" s="13">
        <v>999009</v>
      </c>
      <c r="G51" s="21">
        <f t="shared" si="0"/>
        <v>1043.04</v>
      </c>
      <c r="H51" s="13">
        <f t="shared" si="1"/>
        <v>1061.44</v>
      </c>
    </row>
    <row r="52" spans="1:8" x14ac:dyDescent="0.2">
      <c r="A52" s="16" t="s">
        <v>64</v>
      </c>
      <c r="B52" s="13">
        <v>21.85</v>
      </c>
      <c r="C52" s="13">
        <v>22.1</v>
      </c>
      <c r="D52" s="13">
        <v>21.83</v>
      </c>
      <c r="E52" s="13">
        <v>21.95</v>
      </c>
      <c r="F52" s="13">
        <v>1120489</v>
      </c>
      <c r="G52" s="21">
        <f t="shared" si="0"/>
        <v>1053.5999999999999</v>
      </c>
      <c r="H52" s="13">
        <f t="shared" si="1"/>
        <v>1072</v>
      </c>
    </row>
    <row r="53" spans="1:8" x14ac:dyDescent="0.2">
      <c r="A53" s="16" t="s">
        <v>65</v>
      </c>
      <c r="B53" s="13">
        <v>21.91</v>
      </c>
      <c r="C53" s="13">
        <v>21.91</v>
      </c>
      <c r="D53" s="13">
        <v>21.65</v>
      </c>
      <c r="E53" s="13">
        <v>21.66</v>
      </c>
      <c r="F53" s="13">
        <v>526712</v>
      </c>
      <c r="G53" s="21">
        <f t="shared" si="0"/>
        <v>1039.68</v>
      </c>
      <c r="H53" s="13">
        <f t="shared" si="1"/>
        <v>1058.0800000000002</v>
      </c>
    </row>
    <row r="54" spans="1:8" x14ac:dyDescent="0.2">
      <c r="A54" s="16" t="s">
        <v>66</v>
      </c>
      <c r="B54" s="13">
        <v>21.44</v>
      </c>
      <c r="C54" s="13">
        <v>21.46</v>
      </c>
      <c r="D54" s="13">
        <v>20.85</v>
      </c>
      <c r="E54" s="13">
        <v>21</v>
      </c>
      <c r="F54" s="13">
        <v>3386112</v>
      </c>
      <c r="G54" s="21">
        <f t="shared" si="0"/>
        <v>1008</v>
      </c>
      <c r="H54" s="13">
        <f t="shared" si="1"/>
        <v>1026.4000000000001</v>
      </c>
    </row>
    <row r="55" spans="1:8" x14ac:dyDescent="0.2">
      <c r="A55" s="16" t="s">
        <v>67</v>
      </c>
      <c r="B55" s="13">
        <v>20.95</v>
      </c>
      <c r="C55" s="13">
        <v>21.26</v>
      </c>
      <c r="D55" s="13">
        <v>20.87</v>
      </c>
      <c r="E55" s="13">
        <v>21.16</v>
      </c>
      <c r="F55" s="13">
        <v>1426786</v>
      </c>
      <c r="G55" s="21">
        <f t="shared" si="0"/>
        <v>1015.6800000000001</v>
      </c>
      <c r="H55" s="13">
        <f t="shared" si="1"/>
        <v>1034.0800000000002</v>
      </c>
    </row>
    <row r="56" spans="1:8" x14ac:dyDescent="0.2">
      <c r="A56" s="16" t="s">
        <v>68</v>
      </c>
      <c r="B56" s="13">
        <v>21.09</v>
      </c>
      <c r="C56" s="13">
        <v>21.23</v>
      </c>
      <c r="D56" s="13">
        <v>21</v>
      </c>
      <c r="E56" s="13">
        <v>21.02</v>
      </c>
      <c r="F56" s="13">
        <v>588162</v>
      </c>
      <c r="G56" s="21">
        <f t="shared" si="0"/>
        <v>1008.96</v>
      </c>
      <c r="H56" s="13">
        <f t="shared" si="1"/>
        <v>1027.3600000000001</v>
      </c>
    </row>
    <row r="57" spans="1:8" x14ac:dyDescent="0.2">
      <c r="A57" s="16" t="s">
        <v>69</v>
      </c>
      <c r="B57" s="13">
        <v>21.03</v>
      </c>
      <c r="C57" s="13">
        <v>21.25</v>
      </c>
      <c r="D57" s="13">
        <v>21.02</v>
      </c>
      <c r="E57" s="13">
        <v>21.22</v>
      </c>
      <c r="F57" s="13">
        <v>522205</v>
      </c>
      <c r="G57" s="21">
        <f t="shared" si="0"/>
        <v>1018.56</v>
      </c>
      <c r="H57" s="13">
        <f t="shared" si="1"/>
        <v>1036.96</v>
      </c>
    </row>
    <row r="58" spans="1:8" x14ac:dyDescent="0.2">
      <c r="A58" s="16" t="s">
        <v>70</v>
      </c>
      <c r="B58" s="13">
        <v>21.43</v>
      </c>
      <c r="C58" s="13">
        <v>21.46</v>
      </c>
      <c r="D58" s="13">
        <v>21.09</v>
      </c>
      <c r="E58" s="13">
        <v>21.32</v>
      </c>
      <c r="F58" s="13">
        <v>928537</v>
      </c>
      <c r="G58" s="21">
        <f t="shared" si="0"/>
        <v>1023.36</v>
      </c>
      <c r="H58" s="13">
        <f t="shared" si="1"/>
        <v>1041.7600000000002</v>
      </c>
    </row>
    <row r="59" spans="1:8" x14ac:dyDescent="0.2">
      <c r="A59" s="16" t="s">
        <v>71</v>
      </c>
      <c r="B59" s="13">
        <v>21.1</v>
      </c>
      <c r="C59" s="13">
        <v>21.22</v>
      </c>
      <c r="D59" s="13">
        <v>21</v>
      </c>
      <c r="E59" s="13">
        <v>21.03</v>
      </c>
      <c r="F59" s="13">
        <v>528354</v>
      </c>
      <c r="G59" s="21">
        <f t="shared" si="0"/>
        <v>1009.44</v>
      </c>
      <c r="H59" s="13">
        <f t="shared" si="1"/>
        <v>1027.8400000000001</v>
      </c>
    </row>
    <row r="60" spans="1:8" x14ac:dyDescent="0.2">
      <c r="A60" s="16" t="s">
        <v>72</v>
      </c>
      <c r="B60" s="13">
        <v>21.09</v>
      </c>
      <c r="C60" s="13">
        <v>21.33</v>
      </c>
      <c r="D60" s="13">
        <v>21.07</v>
      </c>
      <c r="E60" s="13">
        <v>21.24</v>
      </c>
      <c r="F60" s="13">
        <v>613273</v>
      </c>
      <c r="G60" s="21">
        <f t="shared" si="0"/>
        <v>1019.52</v>
      </c>
      <c r="H60" s="13">
        <f t="shared" si="1"/>
        <v>1037.92</v>
      </c>
    </row>
    <row r="61" spans="1:8" x14ac:dyDescent="0.2">
      <c r="A61" s="16" t="s">
        <v>73</v>
      </c>
      <c r="B61" s="13">
        <v>21.11</v>
      </c>
      <c r="C61" s="13">
        <v>21.47</v>
      </c>
      <c r="D61" s="13">
        <v>21.08</v>
      </c>
      <c r="E61" s="13">
        <v>21.47</v>
      </c>
      <c r="F61" s="13">
        <v>646126</v>
      </c>
      <c r="G61" s="21">
        <f t="shared" si="0"/>
        <v>1030.56</v>
      </c>
      <c r="H61" s="13">
        <f t="shared" si="1"/>
        <v>1048.96</v>
      </c>
    </row>
    <row r="62" spans="1:8" x14ac:dyDescent="0.2">
      <c r="A62" s="16" t="s">
        <v>74</v>
      </c>
      <c r="B62" s="13">
        <v>21.2</v>
      </c>
      <c r="C62" s="13">
        <v>21.5</v>
      </c>
      <c r="D62" s="13">
        <v>21.2</v>
      </c>
      <c r="E62" s="13">
        <v>21.44</v>
      </c>
      <c r="F62" s="13">
        <v>472246</v>
      </c>
      <c r="G62" s="21">
        <f t="shared" si="0"/>
        <v>1029.1200000000001</v>
      </c>
      <c r="H62" s="13">
        <f t="shared" si="1"/>
        <v>1047.5200000000002</v>
      </c>
    </row>
    <row r="63" spans="1:8" x14ac:dyDescent="0.2">
      <c r="A63" s="16" t="s">
        <v>75</v>
      </c>
      <c r="B63" s="13">
        <v>21.5</v>
      </c>
      <c r="C63" s="13">
        <v>21.85</v>
      </c>
      <c r="D63" s="13">
        <v>21.49</v>
      </c>
      <c r="E63" s="13">
        <v>21.85</v>
      </c>
      <c r="F63" s="13">
        <v>701551</v>
      </c>
      <c r="G63" s="21">
        <f t="shared" si="0"/>
        <v>1048.8000000000002</v>
      </c>
      <c r="H63" s="13">
        <f t="shared" si="1"/>
        <v>1067.2000000000003</v>
      </c>
    </row>
    <row r="64" spans="1:8" x14ac:dyDescent="0.2">
      <c r="A64" s="16" t="s">
        <v>76</v>
      </c>
      <c r="B64" s="13">
        <v>21.6</v>
      </c>
      <c r="C64" s="13">
        <v>21.77</v>
      </c>
      <c r="D64" s="13">
        <v>21.48</v>
      </c>
      <c r="E64" s="13">
        <v>21.69</v>
      </c>
      <c r="F64" s="13">
        <v>759042</v>
      </c>
      <c r="G64" s="21">
        <f t="shared" si="0"/>
        <v>1041.1200000000001</v>
      </c>
      <c r="H64" s="13">
        <f t="shared" si="1"/>
        <v>1059.5200000000002</v>
      </c>
    </row>
    <row r="65" spans="1:8" x14ac:dyDescent="0.2">
      <c r="A65" s="16" t="s">
        <v>77</v>
      </c>
      <c r="B65" s="13">
        <v>21.59</v>
      </c>
      <c r="C65" s="13">
        <v>21.67</v>
      </c>
      <c r="D65" s="13">
        <v>21.09</v>
      </c>
      <c r="E65" s="13">
        <v>21.12</v>
      </c>
      <c r="F65" s="13">
        <v>716367</v>
      </c>
      <c r="G65" s="21">
        <f t="shared" si="0"/>
        <v>1013.76</v>
      </c>
      <c r="H65" s="13">
        <f t="shared" si="1"/>
        <v>1032.1600000000001</v>
      </c>
    </row>
    <row r="66" spans="1:8" x14ac:dyDescent="0.2">
      <c r="A66" s="16" t="s">
        <v>78</v>
      </c>
      <c r="B66" s="13">
        <v>21.24</v>
      </c>
      <c r="C66" s="13">
        <v>21.65</v>
      </c>
      <c r="D66" s="13">
        <v>21.2</v>
      </c>
      <c r="E66" s="13">
        <v>21.56</v>
      </c>
      <c r="F66" s="13">
        <v>1277262</v>
      </c>
      <c r="G66" s="21">
        <f t="shared" si="0"/>
        <v>1034.8799999999999</v>
      </c>
      <c r="H66" s="13">
        <f t="shared" si="1"/>
        <v>1053.28</v>
      </c>
    </row>
    <row r="67" spans="1:8" x14ac:dyDescent="0.2">
      <c r="A67" s="16" t="s">
        <v>79</v>
      </c>
      <c r="B67" s="13">
        <v>21.33</v>
      </c>
      <c r="C67" s="13">
        <v>21.4</v>
      </c>
      <c r="D67" s="13">
        <v>21.07</v>
      </c>
      <c r="E67" s="13">
        <v>21.15</v>
      </c>
      <c r="F67" s="13">
        <v>574168</v>
      </c>
      <c r="G67" s="21">
        <f t="shared" ref="G67:G130" si="2">E67*48</f>
        <v>1015.1999999999999</v>
      </c>
      <c r="H67" s="13">
        <f t="shared" ref="H67:H130" si="3">G67+J$2</f>
        <v>1033.5999999999999</v>
      </c>
    </row>
    <row r="68" spans="1:8" x14ac:dyDescent="0.2">
      <c r="A68" s="16" t="s">
        <v>80</v>
      </c>
      <c r="B68" s="13">
        <v>21.26</v>
      </c>
      <c r="C68" s="13">
        <v>21.7</v>
      </c>
      <c r="D68" s="13">
        <v>21.2</v>
      </c>
      <c r="E68" s="13">
        <v>21.65</v>
      </c>
      <c r="F68" s="13">
        <v>695505</v>
      </c>
      <c r="G68" s="21">
        <f t="shared" si="2"/>
        <v>1039.1999999999998</v>
      </c>
      <c r="H68" s="13">
        <f t="shared" si="3"/>
        <v>1057.5999999999999</v>
      </c>
    </row>
    <row r="69" spans="1:8" x14ac:dyDescent="0.2">
      <c r="A69" s="16" t="s">
        <v>81</v>
      </c>
      <c r="B69" s="13">
        <v>21.21</v>
      </c>
      <c r="C69" s="13">
        <v>21.4</v>
      </c>
      <c r="D69" s="13">
        <v>21.05</v>
      </c>
      <c r="E69" s="13">
        <v>21.26</v>
      </c>
      <c r="F69" s="13">
        <v>779702</v>
      </c>
      <c r="G69" s="21">
        <f t="shared" si="2"/>
        <v>1020.48</v>
      </c>
      <c r="H69" s="13">
        <f t="shared" si="3"/>
        <v>1038.8800000000001</v>
      </c>
    </row>
    <row r="70" spans="1:8" x14ac:dyDescent="0.2">
      <c r="A70" s="16" t="s">
        <v>82</v>
      </c>
      <c r="B70" s="13">
        <v>21.3</v>
      </c>
      <c r="C70" s="13">
        <v>21.54</v>
      </c>
      <c r="D70" s="13">
        <v>21.29</v>
      </c>
      <c r="E70" s="13">
        <v>21.43</v>
      </c>
      <c r="F70" s="13">
        <v>494767</v>
      </c>
      <c r="G70" s="21">
        <f t="shared" si="2"/>
        <v>1028.6399999999999</v>
      </c>
      <c r="H70" s="13">
        <f t="shared" si="3"/>
        <v>1047.04</v>
      </c>
    </row>
    <row r="71" spans="1:8" x14ac:dyDescent="0.2">
      <c r="A71" s="16" t="s">
        <v>83</v>
      </c>
      <c r="B71" s="13">
        <v>21.05</v>
      </c>
      <c r="C71" s="13">
        <v>21.45</v>
      </c>
      <c r="D71" s="13">
        <v>21.03</v>
      </c>
      <c r="E71" s="13">
        <v>21.36</v>
      </c>
      <c r="F71" s="13">
        <v>517008</v>
      </c>
      <c r="G71" s="21">
        <f t="shared" si="2"/>
        <v>1025.28</v>
      </c>
      <c r="H71" s="13">
        <f t="shared" si="3"/>
        <v>1043.68</v>
      </c>
    </row>
    <row r="72" spans="1:8" x14ac:dyDescent="0.2">
      <c r="A72" s="16" t="s">
        <v>84</v>
      </c>
      <c r="B72" s="13">
        <v>21.26</v>
      </c>
      <c r="C72" s="13">
        <v>21.38</v>
      </c>
      <c r="D72" s="13">
        <v>21.15</v>
      </c>
      <c r="E72" s="13">
        <v>21.36</v>
      </c>
      <c r="F72" s="13">
        <v>554904</v>
      </c>
      <c r="G72" s="21">
        <f t="shared" si="2"/>
        <v>1025.28</v>
      </c>
      <c r="H72" s="13">
        <f t="shared" si="3"/>
        <v>1043.68</v>
      </c>
    </row>
    <row r="73" spans="1:8" x14ac:dyDescent="0.2">
      <c r="A73" s="16" t="s">
        <v>85</v>
      </c>
      <c r="B73" s="13">
        <v>21.14</v>
      </c>
      <c r="C73" s="13">
        <v>21.29</v>
      </c>
      <c r="D73" s="13">
        <v>21.03</v>
      </c>
      <c r="E73" s="13">
        <v>21.23</v>
      </c>
      <c r="F73" s="13">
        <v>605995</v>
      </c>
      <c r="G73" s="21">
        <f t="shared" si="2"/>
        <v>1019.04</v>
      </c>
      <c r="H73" s="13">
        <f t="shared" si="3"/>
        <v>1037.44</v>
      </c>
    </row>
    <row r="74" spans="1:8" x14ac:dyDescent="0.2">
      <c r="A74" s="16" t="s">
        <v>86</v>
      </c>
      <c r="B74" s="13">
        <v>21.06</v>
      </c>
      <c r="C74" s="13">
        <v>21.2</v>
      </c>
      <c r="D74" s="13">
        <v>20.885000000000002</v>
      </c>
      <c r="E74" s="13">
        <v>20.89</v>
      </c>
      <c r="F74" s="13">
        <v>1437861</v>
      </c>
      <c r="G74" s="21">
        <f t="shared" si="2"/>
        <v>1002.72</v>
      </c>
      <c r="H74" s="13">
        <f t="shared" si="3"/>
        <v>1021.1200000000001</v>
      </c>
    </row>
    <row r="75" spans="1:8" x14ac:dyDescent="0.2">
      <c r="A75" s="16" t="s">
        <v>87</v>
      </c>
      <c r="B75" s="13">
        <v>20.99</v>
      </c>
      <c r="C75" s="13">
        <v>21.12</v>
      </c>
      <c r="D75" s="13">
        <v>20.89</v>
      </c>
      <c r="E75" s="13">
        <v>21.06</v>
      </c>
      <c r="F75" s="13">
        <v>701161</v>
      </c>
      <c r="G75" s="21">
        <f t="shared" si="2"/>
        <v>1010.8799999999999</v>
      </c>
      <c r="H75" s="13">
        <f t="shared" si="3"/>
        <v>1029.28</v>
      </c>
    </row>
    <row r="76" spans="1:8" x14ac:dyDescent="0.2">
      <c r="A76" s="16" t="s">
        <v>88</v>
      </c>
      <c r="B76" s="13">
        <v>20.95</v>
      </c>
      <c r="C76" s="13">
        <v>21.25</v>
      </c>
      <c r="D76" s="13">
        <v>20.95</v>
      </c>
      <c r="E76" s="13">
        <v>21.04</v>
      </c>
      <c r="F76" s="13">
        <v>621742</v>
      </c>
      <c r="G76" s="21">
        <f t="shared" si="2"/>
        <v>1009.92</v>
      </c>
      <c r="H76" s="13">
        <f t="shared" si="3"/>
        <v>1028.3200000000002</v>
      </c>
    </row>
    <row r="77" spans="1:8" x14ac:dyDescent="0.2">
      <c r="A77" s="16" t="s">
        <v>89</v>
      </c>
      <c r="B77" s="13">
        <v>20.95</v>
      </c>
      <c r="C77" s="13">
        <v>20.98</v>
      </c>
      <c r="D77" s="13">
        <v>19.989999999999998</v>
      </c>
      <c r="E77" s="13">
        <v>19.989999999999998</v>
      </c>
      <c r="F77" s="13">
        <v>1445639</v>
      </c>
      <c r="G77" s="21">
        <f t="shared" si="2"/>
        <v>959.52</v>
      </c>
      <c r="H77" s="13">
        <f t="shared" si="3"/>
        <v>977.92000000000007</v>
      </c>
    </row>
    <row r="78" spans="1:8" x14ac:dyDescent="0.2">
      <c r="A78" s="16" t="s">
        <v>90</v>
      </c>
      <c r="B78" s="13">
        <v>20.39</v>
      </c>
      <c r="C78" s="13">
        <v>20.47</v>
      </c>
      <c r="D78" s="13">
        <v>20.11</v>
      </c>
      <c r="E78" s="13">
        <v>20.27</v>
      </c>
      <c r="F78" s="13">
        <v>612445</v>
      </c>
      <c r="G78" s="21">
        <f t="shared" si="2"/>
        <v>972.96</v>
      </c>
      <c r="H78" s="13">
        <f t="shared" si="3"/>
        <v>991.36000000000013</v>
      </c>
    </row>
    <row r="79" spans="1:8" x14ac:dyDescent="0.2">
      <c r="A79" s="16" t="s">
        <v>91</v>
      </c>
      <c r="B79" s="13">
        <v>20.29</v>
      </c>
      <c r="C79" s="13">
        <v>20.99</v>
      </c>
      <c r="D79" s="13">
        <v>20.29</v>
      </c>
      <c r="E79" s="13">
        <v>20.99</v>
      </c>
      <c r="F79" s="13">
        <v>832498</v>
      </c>
      <c r="G79" s="21">
        <f t="shared" si="2"/>
        <v>1007.52</v>
      </c>
      <c r="H79" s="13">
        <f t="shared" si="3"/>
        <v>1025.92</v>
      </c>
    </row>
    <row r="80" spans="1:8" x14ac:dyDescent="0.2">
      <c r="A80" s="16" t="s">
        <v>92</v>
      </c>
      <c r="B80" s="13">
        <v>21.08</v>
      </c>
      <c r="C80" s="13">
        <v>21.27</v>
      </c>
      <c r="D80" s="13">
        <v>20.7</v>
      </c>
      <c r="E80" s="13">
        <v>20.75</v>
      </c>
      <c r="F80" s="13">
        <v>793562</v>
      </c>
      <c r="G80" s="21">
        <f t="shared" si="2"/>
        <v>996</v>
      </c>
      <c r="H80" s="13">
        <f t="shared" si="3"/>
        <v>1014.4000000000001</v>
      </c>
    </row>
    <row r="81" spans="1:8" x14ac:dyDescent="0.2">
      <c r="A81" s="16" t="s">
        <v>93</v>
      </c>
      <c r="B81" s="13">
        <v>20.79</v>
      </c>
      <c r="C81" s="13">
        <v>21.03</v>
      </c>
      <c r="D81" s="13">
        <v>20.71</v>
      </c>
      <c r="E81" s="13">
        <v>20.99</v>
      </c>
      <c r="F81" s="13">
        <v>597340</v>
      </c>
      <c r="G81" s="21">
        <f t="shared" si="2"/>
        <v>1007.52</v>
      </c>
      <c r="H81" s="13">
        <f t="shared" si="3"/>
        <v>1025.92</v>
      </c>
    </row>
    <row r="82" spans="1:8" x14ac:dyDescent="0.2">
      <c r="A82" s="16" t="s">
        <v>94</v>
      </c>
      <c r="B82" s="13">
        <v>21.1</v>
      </c>
      <c r="C82" s="13">
        <v>21.32</v>
      </c>
      <c r="D82" s="13">
        <v>21.05</v>
      </c>
      <c r="E82" s="13">
        <v>21.19</v>
      </c>
      <c r="F82" s="13">
        <v>682539</v>
      </c>
      <c r="G82" s="21">
        <f t="shared" si="2"/>
        <v>1017.1200000000001</v>
      </c>
      <c r="H82" s="13">
        <f t="shared" si="3"/>
        <v>1035.5200000000002</v>
      </c>
    </row>
    <row r="83" spans="1:8" x14ac:dyDescent="0.2">
      <c r="A83" s="16" t="s">
        <v>95</v>
      </c>
      <c r="B83" s="13">
        <v>21.22</v>
      </c>
      <c r="C83" s="13">
        <v>21.29</v>
      </c>
      <c r="D83" s="13">
        <v>21.05</v>
      </c>
      <c r="E83" s="13">
        <v>21.21</v>
      </c>
      <c r="F83" s="13">
        <v>639463</v>
      </c>
      <c r="G83" s="21">
        <f t="shared" si="2"/>
        <v>1018.08</v>
      </c>
      <c r="H83" s="13">
        <f t="shared" si="3"/>
        <v>1036.48</v>
      </c>
    </row>
    <row r="84" spans="1:8" x14ac:dyDescent="0.2">
      <c r="A84" s="16" t="s">
        <v>96</v>
      </c>
      <c r="B84" s="13">
        <v>21.06</v>
      </c>
      <c r="C84" s="13">
        <v>21.21</v>
      </c>
      <c r="D84" s="13">
        <v>20.88</v>
      </c>
      <c r="E84" s="13">
        <v>20.88</v>
      </c>
      <c r="F84" s="13">
        <v>595707</v>
      </c>
      <c r="G84" s="21">
        <f t="shared" si="2"/>
        <v>1002.24</v>
      </c>
      <c r="H84" s="13">
        <f t="shared" si="3"/>
        <v>1020.6400000000001</v>
      </c>
    </row>
    <row r="85" spans="1:8" x14ac:dyDescent="0.2">
      <c r="A85" s="16" t="s">
        <v>97</v>
      </c>
      <c r="B85" s="13">
        <v>20.83</v>
      </c>
      <c r="C85" s="13">
        <v>21.03</v>
      </c>
      <c r="D85" s="13">
        <v>20.399999999999999</v>
      </c>
      <c r="E85" s="13">
        <v>20.47</v>
      </c>
      <c r="F85" s="13">
        <v>1372294</v>
      </c>
      <c r="G85" s="21">
        <f t="shared" si="2"/>
        <v>982.56</v>
      </c>
      <c r="H85" s="13">
        <f t="shared" si="3"/>
        <v>1000.96</v>
      </c>
    </row>
    <row r="86" spans="1:8" x14ac:dyDescent="0.2">
      <c r="A86" s="16" t="s">
        <v>98</v>
      </c>
      <c r="B86" s="13">
        <v>20.65</v>
      </c>
      <c r="C86" s="13">
        <v>20.75</v>
      </c>
      <c r="D86" s="13">
        <v>20.45</v>
      </c>
      <c r="E86" s="13">
        <v>20.5</v>
      </c>
      <c r="F86" s="13">
        <v>589857</v>
      </c>
      <c r="G86" s="21">
        <f t="shared" si="2"/>
        <v>984</v>
      </c>
      <c r="H86" s="13">
        <f t="shared" si="3"/>
        <v>1002.4000000000001</v>
      </c>
    </row>
    <row r="87" spans="1:8" x14ac:dyDescent="0.2">
      <c r="A87" s="16" t="s">
        <v>99</v>
      </c>
      <c r="B87" s="13">
        <v>20.48</v>
      </c>
      <c r="C87" s="13">
        <v>20.51</v>
      </c>
      <c r="D87" s="13">
        <v>19.96</v>
      </c>
      <c r="E87" s="13">
        <v>20.059999999999999</v>
      </c>
      <c r="F87" s="13">
        <v>1108499</v>
      </c>
      <c r="G87" s="21">
        <f t="shared" si="2"/>
        <v>962.87999999999988</v>
      </c>
      <c r="H87" s="13">
        <f t="shared" si="3"/>
        <v>981.28</v>
      </c>
    </row>
    <row r="88" spans="1:8" x14ac:dyDescent="0.2">
      <c r="A88" s="16" t="s">
        <v>100</v>
      </c>
      <c r="B88" s="13">
        <v>20.18</v>
      </c>
      <c r="C88" s="13">
        <v>20.6</v>
      </c>
      <c r="D88" s="13">
        <v>20.149999999999999</v>
      </c>
      <c r="E88" s="13">
        <v>20.59</v>
      </c>
      <c r="F88" s="13">
        <v>736025</v>
      </c>
      <c r="G88" s="21">
        <f t="shared" si="2"/>
        <v>988.31999999999994</v>
      </c>
      <c r="H88" s="13">
        <f t="shared" si="3"/>
        <v>1006.72</v>
      </c>
    </row>
    <row r="89" spans="1:8" x14ac:dyDescent="0.2">
      <c r="A89" s="16" t="s">
        <v>101</v>
      </c>
      <c r="B89" s="13">
        <v>20.68</v>
      </c>
      <c r="C89" s="13">
        <v>21.08</v>
      </c>
      <c r="D89" s="13">
        <v>20.62</v>
      </c>
      <c r="E89" s="13">
        <v>21.05</v>
      </c>
      <c r="F89" s="13">
        <v>1157320</v>
      </c>
      <c r="G89" s="21">
        <f t="shared" si="2"/>
        <v>1010.4000000000001</v>
      </c>
      <c r="H89" s="13">
        <f t="shared" si="3"/>
        <v>1028.8000000000002</v>
      </c>
    </row>
    <row r="90" spans="1:8" x14ac:dyDescent="0.2">
      <c r="A90" s="16" t="s">
        <v>102</v>
      </c>
      <c r="B90" s="13">
        <v>20.9</v>
      </c>
      <c r="C90" s="13">
        <v>21.14</v>
      </c>
      <c r="D90" s="13">
        <v>20.64</v>
      </c>
      <c r="E90" s="13">
        <v>20.64</v>
      </c>
      <c r="F90" s="13">
        <v>1027123</v>
      </c>
      <c r="G90" s="21">
        <f t="shared" si="2"/>
        <v>990.72</v>
      </c>
      <c r="H90" s="13">
        <f t="shared" si="3"/>
        <v>1009.1200000000001</v>
      </c>
    </row>
    <row r="91" spans="1:8" x14ac:dyDescent="0.2">
      <c r="A91" s="16" t="s">
        <v>103</v>
      </c>
      <c r="B91" s="13">
        <v>20.55</v>
      </c>
      <c r="C91" s="13">
        <v>20.81</v>
      </c>
      <c r="D91" s="13">
        <v>20.420000000000002</v>
      </c>
      <c r="E91" s="13">
        <v>20.420000000000002</v>
      </c>
      <c r="F91" s="13">
        <v>802632</v>
      </c>
      <c r="G91" s="21">
        <f t="shared" si="2"/>
        <v>980.16000000000008</v>
      </c>
      <c r="H91" s="13">
        <f t="shared" si="3"/>
        <v>998.56000000000017</v>
      </c>
    </row>
    <row r="92" spans="1:8" x14ac:dyDescent="0.2">
      <c r="A92" s="16" t="s">
        <v>104</v>
      </c>
      <c r="B92" s="13">
        <v>20.36</v>
      </c>
      <c r="C92" s="13">
        <v>20.6</v>
      </c>
      <c r="D92" s="13">
        <v>19.739999999999998</v>
      </c>
      <c r="E92" s="13">
        <v>19.84</v>
      </c>
      <c r="F92" s="13">
        <v>1178402</v>
      </c>
      <c r="G92" s="21">
        <f t="shared" si="2"/>
        <v>952.31999999999994</v>
      </c>
      <c r="H92" s="13">
        <f t="shared" si="3"/>
        <v>970.72</v>
      </c>
    </row>
    <row r="93" spans="1:8" x14ac:dyDescent="0.2">
      <c r="A93" s="16" t="s">
        <v>105</v>
      </c>
      <c r="B93" s="13">
        <v>19.91</v>
      </c>
      <c r="C93" s="13">
        <v>20.6</v>
      </c>
      <c r="D93" s="13">
        <v>19.88</v>
      </c>
      <c r="E93" s="13">
        <v>20.59</v>
      </c>
      <c r="F93" s="13">
        <v>1007285</v>
      </c>
      <c r="G93" s="21">
        <f t="shared" si="2"/>
        <v>988.31999999999994</v>
      </c>
      <c r="H93" s="13">
        <f t="shared" si="3"/>
        <v>1006.72</v>
      </c>
    </row>
    <row r="94" spans="1:8" x14ac:dyDescent="0.2">
      <c r="A94" s="16" t="s">
        <v>106</v>
      </c>
      <c r="B94" s="13">
        <v>20.68</v>
      </c>
      <c r="C94" s="13">
        <v>20.81</v>
      </c>
      <c r="D94" s="13">
        <v>20.5</v>
      </c>
      <c r="E94" s="13">
        <v>20.62</v>
      </c>
      <c r="F94" s="13">
        <v>584338</v>
      </c>
      <c r="G94" s="21">
        <f t="shared" si="2"/>
        <v>989.76</v>
      </c>
      <c r="H94" s="13">
        <f t="shared" si="3"/>
        <v>1008.1600000000001</v>
      </c>
    </row>
    <row r="95" spans="1:8" x14ac:dyDescent="0.2">
      <c r="A95" s="16" t="s">
        <v>107</v>
      </c>
      <c r="B95" s="13">
        <v>20.77</v>
      </c>
      <c r="C95" s="13">
        <v>20.88</v>
      </c>
      <c r="D95" s="13">
        <v>20.6</v>
      </c>
      <c r="E95" s="13">
        <v>20.7</v>
      </c>
      <c r="F95" s="13">
        <v>648545</v>
      </c>
      <c r="G95" s="21">
        <f t="shared" si="2"/>
        <v>993.59999999999991</v>
      </c>
      <c r="H95" s="13">
        <f t="shared" si="3"/>
        <v>1012</v>
      </c>
    </row>
    <row r="96" spans="1:8" x14ac:dyDescent="0.2">
      <c r="A96" s="16" t="s">
        <v>108</v>
      </c>
      <c r="B96" s="13">
        <v>20.54</v>
      </c>
      <c r="C96" s="13">
        <v>20.67</v>
      </c>
      <c r="D96" s="13">
        <v>20.34</v>
      </c>
      <c r="E96" s="13">
        <v>20.39</v>
      </c>
      <c r="F96" s="13">
        <v>711385</v>
      </c>
      <c r="G96" s="21">
        <f t="shared" si="2"/>
        <v>978.72</v>
      </c>
      <c r="H96" s="13">
        <f t="shared" si="3"/>
        <v>997.12000000000012</v>
      </c>
    </row>
    <row r="97" spans="1:8" x14ac:dyDescent="0.2">
      <c r="A97" s="16" t="s">
        <v>109</v>
      </c>
      <c r="B97" s="13">
        <v>20.440000000000001</v>
      </c>
      <c r="C97" s="13">
        <v>20.7</v>
      </c>
      <c r="D97" s="13">
        <v>20.21</v>
      </c>
      <c r="E97" s="13">
        <v>20.440000000000001</v>
      </c>
      <c r="F97" s="13">
        <v>495855</v>
      </c>
      <c r="G97" s="21">
        <f t="shared" si="2"/>
        <v>981.12000000000012</v>
      </c>
      <c r="H97" s="13">
        <f t="shared" si="3"/>
        <v>999.52000000000021</v>
      </c>
    </row>
    <row r="98" spans="1:8" x14ac:dyDescent="0.2">
      <c r="A98" s="16" t="s">
        <v>110</v>
      </c>
      <c r="B98" s="13">
        <v>20.399999999999999</v>
      </c>
      <c r="C98" s="13">
        <v>20.68</v>
      </c>
      <c r="D98" s="13">
        <v>20.38</v>
      </c>
      <c r="E98" s="13">
        <v>20.65</v>
      </c>
      <c r="F98" s="13">
        <v>652779</v>
      </c>
      <c r="G98" s="21">
        <f t="shared" si="2"/>
        <v>991.19999999999993</v>
      </c>
      <c r="H98" s="13">
        <f t="shared" si="3"/>
        <v>1009.6</v>
      </c>
    </row>
    <row r="99" spans="1:8" x14ac:dyDescent="0.2">
      <c r="A99" s="16" t="s">
        <v>111</v>
      </c>
      <c r="B99" s="13">
        <v>20.67</v>
      </c>
      <c r="C99" s="13">
        <v>20.77</v>
      </c>
      <c r="D99" s="13">
        <v>20.27</v>
      </c>
      <c r="E99" s="13">
        <v>20.34</v>
      </c>
      <c r="F99" s="13">
        <v>2212867</v>
      </c>
      <c r="G99" s="21">
        <f t="shared" si="2"/>
        <v>976.31999999999994</v>
      </c>
      <c r="H99" s="13">
        <f t="shared" si="3"/>
        <v>994.72</v>
      </c>
    </row>
    <row r="100" spans="1:8" x14ac:dyDescent="0.2">
      <c r="A100" s="16" t="s">
        <v>112</v>
      </c>
      <c r="B100" s="13">
        <v>20.28</v>
      </c>
      <c r="C100" s="13">
        <v>20.32</v>
      </c>
      <c r="D100" s="13">
        <v>19.920000000000002</v>
      </c>
      <c r="E100" s="13">
        <v>20</v>
      </c>
      <c r="F100" s="13">
        <v>916843</v>
      </c>
      <c r="G100" s="21">
        <f t="shared" si="2"/>
        <v>960</v>
      </c>
      <c r="H100" s="13">
        <f t="shared" si="3"/>
        <v>978.40000000000009</v>
      </c>
    </row>
    <row r="101" spans="1:8" x14ac:dyDescent="0.2">
      <c r="A101" s="16" t="s">
        <v>113</v>
      </c>
      <c r="B101" s="13">
        <v>19.760000000000002</v>
      </c>
      <c r="C101" s="13">
        <v>19.98</v>
      </c>
      <c r="D101" s="13">
        <v>19.510000000000002</v>
      </c>
      <c r="E101" s="13">
        <v>19.510000000000002</v>
      </c>
      <c r="F101" s="13">
        <v>1078304</v>
      </c>
      <c r="G101" s="21">
        <f t="shared" si="2"/>
        <v>936.48</v>
      </c>
      <c r="H101" s="13">
        <f t="shared" si="3"/>
        <v>954.88000000000011</v>
      </c>
    </row>
    <row r="102" spans="1:8" x14ac:dyDescent="0.2">
      <c r="A102" s="16" t="s">
        <v>114</v>
      </c>
      <c r="B102" s="13">
        <v>19.649999999999999</v>
      </c>
      <c r="C102" s="13">
        <v>19.84</v>
      </c>
      <c r="D102" s="13">
        <v>19.54</v>
      </c>
      <c r="E102" s="13">
        <v>19.8</v>
      </c>
      <c r="F102" s="13">
        <v>1242464</v>
      </c>
      <c r="G102" s="21">
        <f t="shared" si="2"/>
        <v>950.40000000000009</v>
      </c>
      <c r="H102" s="13">
        <f t="shared" si="3"/>
        <v>968.80000000000018</v>
      </c>
    </row>
    <row r="103" spans="1:8" x14ac:dyDescent="0.2">
      <c r="A103" s="16" t="s">
        <v>115</v>
      </c>
      <c r="B103" s="13">
        <v>19.79</v>
      </c>
      <c r="C103" s="13">
        <v>19.79</v>
      </c>
      <c r="D103" s="13">
        <v>19.350000000000001</v>
      </c>
      <c r="E103" s="13">
        <v>19.399999999999999</v>
      </c>
      <c r="F103" s="13">
        <v>724247</v>
      </c>
      <c r="G103" s="21">
        <f t="shared" si="2"/>
        <v>931.19999999999993</v>
      </c>
      <c r="H103" s="13">
        <f t="shared" si="3"/>
        <v>949.6</v>
      </c>
    </row>
    <row r="104" spans="1:8" x14ac:dyDescent="0.2">
      <c r="A104" s="16" t="s">
        <v>116</v>
      </c>
      <c r="B104" s="13">
        <v>19.16</v>
      </c>
      <c r="C104" s="13">
        <v>19.399999999999999</v>
      </c>
      <c r="D104" s="13">
        <v>18.899999999999999</v>
      </c>
      <c r="E104" s="13">
        <v>18.98</v>
      </c>
      <c r="F104" s="13">
        <v>1565091</v>
      </c>
      <c r="G104" s="21">
        <f t="shared" si="2"/>
        <v>911.04</v>
      </c>
      <c r="H104" s="13">
        <f t="shared" si="3"/>
        <v>929.44</v>
      </c>
    </row>
    <row r="105" spans="1:8" x14ac:dyDescent="0.2">
      <c r="A105" s="16" t="s">
        <v>117</v>
      </c>
      <c r="B105" s="13">
        <v>18.940000000000001</v>
      </c>
      <c r="C105" s="13">
        <v>19.13</v>
      </c>
      <c r="D105" s="13">
        <v>18.785</v>
      </c>
      <c r="E105" s="13">
        <v>19.11</v>
      </c>
      <c r="F105" s="13">
        <v>963307</v>
      </c>
      <c r="G105" s="21">
        <f t="shared" si="2"/>
        <v>917.28</v>
      </c>
      <c r="H105" s="13">
        <f t="shared" si="3"/>
        <v>935.68000000000006</v>
      </c>
    </row>
    <row r="106" spans="1:8" x14ac:dyDescent="0.2">
      <c r="A106" s="16" t="s">
        <v>118</v>
      </c>
      <c r="B106" s="13">
        <v>19.2</v>
      </c>
      <c r="C106" s="13">
        <v>19.28</v>
      </c>
      <c r="D106" s="13">
        <v>18.809999999999999</v>
      </c>
      <c r="E106" s="13">
        <v>18.850000000000001</v>
      </c>
      <c r="F106" s="13">
        <v>1746799</v>
      </c>
      <c r="G106" s="21">
        <f t="shared" si="2"/>
        <v>904.80000000000007</v>
      </c>
      <c r="H106" s="13">
        <f t="shared" si="3"/>
        <v>923.20000000000016</v>
      </c>
    </row>
    <row r="107" spans="1:8" x14ac:dyDescent="0.2">
      <c r="A107" s="16" t="s">
        <v>119</v>
      </c>
      <c r="B107" s="13">
        <v>19.04</v>
      </c>
      <c r="C107" s="13">
        <v>19.079999999999998</v>
      </c>
      <c r="D107" s="13">
        <v>18.809999999999999</v>
      </c>
      <c r="E107" s="13">
        <v>18.97</v>
      </c>
      <c r="F107" s="13">
        <v>1342203</v>
      </c>
      <c r="G107" s="21">
        <f t="shared" si="2"/>
        <v>910.56</v>
      </c>
      <c r="H107" s="13">
        <f t="shared" si="3"/>
        <v>928.96</v>
      </c>
    </row>
    <row r="108" spans="1:8" x14ac:dyDescent="0.2">
      <c r="A108" s="16" t="s">
        <v>120</v>
      </c>
      <c r="B108" s="13">
        <v>18.920000000000002</v>
      </c>
      <c r="C108" s="13">
        <v>19.04</v>
      </c>
      <c r="D108" s="13">
        <v>18.71</v>
      </c>
      <c r="E108" s="13">
        <v>18.8</v>
      </c>
      <c r="F108" s="13">
        <v>1152033</v>
      </c>
      <c r="G108" s="21">
        <f t="shared" si="2"/>
        <v>902.40000000000009</v>
      </c>
      <c r="H108" s="13">
        <f t="shared" si="3"/>
        <v>920.80000000000018</v>
      </c>
    </row>
    <row r="109" spans="1:8" x14ac:dyDescent="0.2">
      <c r="A109" s="16" t="s">
        <v>121</v>
      </c>
      <c r="B109" s="13">
        <v>18.829999999999998</v>
      </c>
      <c r="C109" s="13">
        <v>19.16</v>
      </c>
      <c r="D109" s="13">
        <v>18.82</v>
      </c>
      <c r="E109" s="13">
        <v>19.16</v>
      </c>
      <c r="F109" s="13">
        <v>1156782</v>
      </c>
      <c r="G109" s="21">
        <f t="shared" si="2"/>
        <v>919.68000000000006</v>
      </c>
      <c r="H109" s="13">
        <f t="shared" si="3"/>
        <v>938.08000000000015</v>
      </c>
    </row>
    <row r="110" spans="1:8" x14ac:dyDescent="0.2">
      <c r="A110" s="16" t="s">
        <v>122</v>
      </c>
      <c r="B110" s="13">
        <v>19.2</v>
      </c>
      <c r="C110" s="13">
        <v>19.27</v>
      </c>
      <c r="D110" s="13">
        <v>19.04</v>
      </c>
      <c r="E110" s="13">
        <v>19.2</v>
      </c>
      <c r="F110" s="13">
        <v>942827</v>
      </c>
      <c r="G110" s="21">
        <f t="shared" si="2"/>
        <v>921.59999999999991</v>
      </c>
      <c r="H110" s="13">
        <f t="shared" si="3"/>
        <v>940</v>
      </c>
    </row>
    <row r="111" spans="1:8" x14ac:dyDescent="0.2">
      <c r="A111" s="16" t="s">
        <v>123</v>
      </c>
      <c r="B111" s="13">
        <v>19.260000000000002</v>
      </c>
      <c r="C111" s="13">
        <v>19.5</v>
      </c>
      <c r="D111" s="13">
        <v>19.239999999999998</v>
      </c>
      <c r="E111" s="13">
        <v>19.38</v>
      </c>
      <c r="F111" s="13">
        <v>732356</v>
      </c>
      <c r="G111" s="21">
        <f t="shared" si="2"/>
        <v>930.24</v>
      </c>
      <c r="H111" s="13">
        <f t="shared" si="3"/>
        <v>948.6400000000001</v>
      </c>
    </row>
    <row r="112" spans="1:8" x14ac:dyDescent="0.2">
      <c r="A112" s="16" t="s">
        <v>124</v>
      </c>
      <c r="B112" s="13">
        <v>19.29</v>
      </c>
      <c r="C112" s="13">
        <v>19.68</v>
      </c>
      <c r="D112" s="13">
        <v>19.27</v>
      </c>
      <c r="E112" s="13">
        <v>19.53</v>
      </c>
      <c r="F112" s="13">
        <v>1031875</v>
      </c>
      <c r="G112" s="21">
        <f t="shared" si="2"/>
        <v>937.44</v>
      </c>
      <c r="H112" s="13">
        <f t="shared" si="3"/>
        <v>955.84000000000015</v>
      </c>
    </row>
    <row r="113" spans="1:8" x14ac:dyDescent="0.2">
      <c r="A113" s="16" t="s">
        <v>125</v>
      </c>
      <c r="B113" s="13">
        <v>19.579999999999998</v>
      </c>
      <c r="C113" s="13">
        <v>19.63</v>
      </c>
      <c r="D113" s="13">
        <v>19.149999999999999</v>
      </c>
      <c r="E113" s="13">
        <v>19.190000000000001</v>
      </c>
      <c r="F113" s="13">
        <v>812650</v>
      </c>
      <c r="G113" s="21">
        <f t="shared" si="2"/>
        <v>921.12000000000012</v>
      </c>
      <c r="H113" s="13">
        <f t="shared" si="3"/>
        <v>939.52000000000021</v>
      </c>
    </row>
    <row r="114" spans="1:8" x14ac:dyDescent="0.2">
      <c r="A114" s="16" t="s">
        <v>126</v>
      </c>
      <c r="B114" s="13">
        <v>19.399999999999999</v>
      </c>
      <c r="C114" s="13">
        <v>19.48</v>
      </c>
      <c r="D114" s="13">
        <v>19.22</v>
      </c>
      <c r="E114" s="13">
        <v>19.27</v>
      </c>
      <c r="F114" s="13">
        <v>349371</v>
      </c>
      <c r="G114" s="21">
        <f t="shared" si="2"/>
        <v>924.96</v>
      </c>
      <c r="H114" s="13">
        <f t="shared" si="3"/>
        <v>943.36000000000013</v>
      </c>
    </row>
    <row r="115" spans="1:8" x14ac:dyDescent="0.2">
      <c r="A115" s="16" t="s">
        <v>127</v>
      </c>
      <c r="B115" s="13">
        <v>19.25</v>
      </c>
      <c r="C115" s="13">
        <v>19.600000000000001</v>
      </c>
      <c r="D115" s="13">
        <v>19.100000000000001</v>
      </c>
      <c r="E115" s="13">
        <v>19.57</v>
      </c>
      <c r="F115" s="13">
        <v>701116</v>
      </c>
      <c r="G115" s="21">
        <f t="shared" si="2"/>
        <v>939.36</v>
      </c>
      <c r="H115" s="13">
        <f t="shared" si="3"/>
        <v>957.7600000000001</v>
      </c>
    </row>
    <row r="116" spans="1:8" x14ac:dyDescent="0.2">
      <c r="A116" s="16" t="s">
        <v>128</v>
      </c>
      <c r="B116" s="13">
        <v>19.5</v>
      </c>
      <c r="C116" s="13">
        <v>19.61</v>
      </c>
      <c r="D116" s="13">
        <v>19.36</v>
      </c>
      <c r="E116" s="13">
        <v>19.54</v>
      </c>
      <c r="F116" s="13">
        <v>653639</v>
      </c>
      <c r="G116" s="21">
        <f t="shared" si="2"/>
        <v>937.92</v>
      </c>
      <c r="H116" s="13">
        <f t="shared" si="3"/>
        <v>956.32</v>
      </c>
    </row>
    <row r="117" spans="1:8" x14ac:dyDescent="0.2">
      <c r="A117" s="16" t="s">
        <v>129</v>
      </c>
      <c r="B117" s="13">
        <v>19.68</v>
      </c>
      <c r="C117" s="13">
        <v>19.95</v>
      </c>
      <c r="D117" s="13">
        <v>19.670000000000002</v>
      </c>
      <c r="E117" s="13">
        <v>19.940000000000001</v>
      </c>
      <c r="F117" s="13">
        <v>663715</v>
      </c>
      <c r="G117" s="21">
        <f t="shared" si="2"/>
        <v>957.12000000000012</v>
      </c>
      <c r="H117" s="13">
        <f t="shared" si="3"/>
        <v>975.52000000000021</v>
      </c>
    </row>
    <row r="118" spans="1:8" x14ac:dyDescent="0.2">
      <c r="A118" s="16" t="s">
        <v>130</v>
      </c>
      <c r="B118" s="13">
        <v>19.98</v>
      </c>
      <c r="C118" s="13">
        <v>19.98</v>
      </c>
      <c r="D118" s="13">
        <v>19.739999999999998</v>
      </c>
      <c r="E118" s="13">
        <v>19.88</v>
      </c>
      <c r="F118" s="13">
        <v>600422</v>
      </c>
      <c r="G118" s="21">
        <f t="shared" si="2"/>
        <v>954.24</v>
      </c>
      <c r="H118" s="13">
        <f t="shared" si="3"/>
        <v>972.6400000000001</v>
      </c>
    </row>
    <row r="119" spans="1:8" x14ac:dyDescent="0.2">
      <c r="A119" s="16" t="s">
        <v>131</v>
      </c>
      <c r="B119" s="13">
        <v>19.829999999999998</v>
      </c>
      <c r="C119" s="13">
        <v>19.98</v>
      </c>
      <c r="D119" s="13">
        <v>19.78</v>
      </c>
      <c r="E119" s="13">
        <v>19.829999999999998</v>
      </c>
      <c r="F119" s="13">
        <v>462266</v>
      </c>
      <c r="G119" s="21">
        <f t="shared" si="2"/>
        <v>951.83999999999992</v>
      </c>
      <c r="H119" s="13">
        <f t="shared" si="3"/>
        <v>970.24</v>
      </c>
    </row>
    <row r="120" spans="1:8" x14ac:dyDescent="0.2">
      <c r="A120" s="16" t="s">
        <v>132</v>
      </c>
      <c r="B120" s="13">
        <v>19.86</v>
      </c>
      <c r="C120" s="13">
        <v>19.98</v>
      </c>
      <c r="D120" s="13">
        <v>19.79</v>
      </c>
      <c r="E120" s="13">
        <v>19.8</v>
      </c>
      <c r="F120" s="13">
        <v>3324301</v>
      </c>
      <c r="G120" s="21">
        <f t="shared" si="2"/>
        <v>950.40000000000009</v>
      </c>
      <c r="H120" s="13">
        <f t="shared" si="3"/>
        <v>968.80000000000018</v>
      </c>
    </row>
    <row r="121" spans="1:8" x14ac:dyDescent="0.2">
      <c r="A121" s="16" t="s">
        <v>133</v>
      </c>
      <c r="B121" s="13">
        <v>19.850000000000001</v>
      </c>
      <c r="C121" s="13">
        <v>19.899999999999999</v>
      </c>
      <c r="D121" s="13">
        <v>19.489999999999998</v>
      </c>
      <c r="E121" s="13">
        <v>19.649999999999999</v>
      </c>
      <c r="F121" s="13">
        <v>719743</v>
      </c>
      <c r="G121" s="21">
        <f t="shared" si="2"/>
        <v>943.19999999999993</v>
      </c>
      <c r="H121" s="13">
        <f t="shared" si="3"/>
        <v>961.6</v>
      </c>
    </row>
    <row r="122" spans="1:8" x14ac:dyDescent="0.2">
      <c r="A122" s="16" t="s">
        <v>134</v>
      </c>
      <c r="B122" s="13">
        <v>19.82</v>
      </c>
      <c r="C122" s="13">
        <v>19.940000000000001</v>
      </c>
      <c r="D122" s="13">
        <v>19.600000000000001</v>
      </c>
      <c r="E122" s="13">
        <v>19.940000000000001</v>
      </c>
      <c r="F122" s="13">
        <v>518389</v>
      </c>
      <c r="G122" s="21">
        <f t="shared" si="2"/>
        <v>957.12000000000012</v>
      </c>
      <c r="H122" s="13">
        <f t="shared" si="3"/>
        <v>975.52000000000021</v>
      </c>
    </row>
    <row r="123" spans="1:8" x14ac:dyDescent="0.2">
      <c r="A123" s="16" t="s">
        <v>135</v>
      </c>
      <c r="B123" s="13">
        <v>19.809999999999999</v>
      </c>
      <c r="C123" s="13">
        <v>19.91</v>
      </c>
      <c r="D123" s="13">
        <v>19.53</v>
      </c>
      <c r="E123" s="13">
        <v>19.91</v>
      </c>
      <c r="F123" s="13">
        <v>637654</v>
      </c>
      <c r="G123" s="21">
        <f t="shared" si="2"/>
        <v>955.68000000000006</v>
      </c>
      <c r="H123" s="13">
        <f t="shared" si="3"/>
        <v>974.08000000000015</v>
      </c>
    </row>
    <row r="124" spans="1:8" x14ac:dyDescent="0.2">
      <c r="A124" s="16" t="s">
        <v>136</v>
      </c>
      <c r="B124" s="13">
        <v>19.62</v>
      </c>
      <c r="C124" s="13">
        <v>20.04</v>
      </c>
      <c r="D124" s="13">
        <v>19.5</v>
      </c>
      <c r="E124" s="13">
        <v>20.04</v>
      </c>
      <c r="F124" s="13">
        <v>765277</v>
      </c>
      <c r="G124" s="21">
        <f t="shared" si="2"/>
        <v>961.92</v>
      </c>
      <c r="H124" s="13">
        <f t="shared" si="3"/>
        <v>980.32</v>
      </c>
    </row>
    <row r="125" spans="1:8" x14ac:dyDescent="0.2">
      <c r="A125" s="16" t="s">
        <v>137</v>
      </c>
      <c r="B125" s="13">
        <v>20.05</v>
      </c>
      <c r="C125" s="13">
        <v>20.2</v>
      </c>
      <c r="D125" s="13">
        <v>19.95</v>
      </c>
      <c r="E125" s="13">
        <v>20.18</v>
      </c>
      <c r="F125" s="13">
        <v>850210</v>
      </c>
      <c r="G125" s="21">
        <f t="shared" si="2"/>
        <v>968.64</v>
      </c>
      <c r="H125" s="13">
        <f t="shared" si="3"/>
        <v>987.04000000000008</v>
      </c>
    </row>
    <row r="126" spans="1:8" x14ac:dyDescent="0.2">
      <c r="A126" s="16" t="s">
        <v>138</v>
      </c>
      <c r="B126" s="13">
        <v>20.079999999999998</v>
      </c>
      <c r="C126" s="13">
        <v>20.09</v>
      </c>
      <c r="D126" s="13">
        <v>19.75</v>
      </c>
      <c r="E126" s="13">
        <v>19.82</v>
      </c>
      <c r="F126" s="13">
        <v>525529</v>
      </c>
      <c r="G126" s="21">
        <f t="shared" si="2"/>
        <v>951.36</v>
      </c>
      <c r="H126" s="13">
        <f t="shared" si="3"/>
        <v>969.7600000000001</v>
      </c>
    </row>
    <row r="127" spans="1:8" x14ac:dyDescent="0.2">
      <c r="A127" s="16" t="s">
        <v>139</v>
      </c>
      <c r="B127" s="13">
        <v>19.78</v>
      </c>
      <c r="C127" s="13">
        <v>19.989999999999998</v>
      </c>
      <c r="D127" s="13">
        <v>19.62</v>
      </c>
      <c r="E127" s="13">
        <v>19.989999999999998</v>
      </c>
      <c r="F127" s="13">
        <v>553735</v>
      </c>
      <c r="G127" s="21">
        <f t="shared" si="2"/>
        <v>959.52</v>
      </c>
      <c r="H127" s="13">
        <f t="shared" si="3"/>
        <v>977.92000000000007</v>
      </c>
    </row>
    <row r="128" spans="1:8" x14ac:dyDescent="0.2">
      <c r="A128" s="16" t="s">
        <v>140</v>
      </c>
      <c r="B128" s="13">
        <v>20.11</v>
      </c>
      <c r="C128" s="13">
        <v>20.66</v>
      </c>
      <c r="D128" s="13">
        <v>20.11</v>
      </c>
      <c r="E128" s="13">
        <v>20.63</v>
      </c>
      <c r="F128" s="13">
        <v>1495941</v>
      </c>
      <c r="G128" s="21">
        <f t="shared" si="2"/>
        <v>990.24</v>
      </c>
      <c r="H128" s="13">
        <f t="shared" si="3"/>
        <v>1008.6400000000001</v>
      </c>
    </row>
    <row r="129" spans="1:8" x14ac:dyDescent="0.2">
      <c r="A129" s="16" t="s">
        <v>141</v>
      </c>
      <c r="B129" s="13">
        <v>20.59</v>
      </c>
      <c r="C129" s="13">
        <v>21.02</v>
      </c>
      <c r="D129" s="13">
        <v>20.48</v>
      </c>
      <c r="E129" s="13">
        <v>21</v>
      </c>
      <c r="F129" s="13">
        <v>1434200</v>
      </c>
      <c r="G129" s="21">
        <f t="shared" si="2"/>
        <v>1008</v>
      </c>
      <c r="H129" s="13">
        <f t="shared" si="3"/>
        <v>1026.4000000000001</v>
      </c>
    </row>
    <row r="130" spans="1:8" x14ac:dyDescent="0.2">
      <c r="A130" s="16" t="s">
        <v>142</v>
      </c>
      <c r="B130" s="13">
        <v>20.98</v>
      </c>
      <c r="C130" s="13">
        <v>21.58</v>
      </c>
      <c r="D130" s="13">
        <v>20.89</v>
      </c>
      <c r="E130" s="13">
        <v>21.5</v>
      </c>
      <c r="F130" s="13">
        <v>1158198</v>
      </c>
      <c r="G130" s="21">
        <f t="shared" si="2"/>
        <v>1032</v>
      </c>
      <c r="H130" s="13">
        <f t="shared" si="3"/>
        <v>1050.4000000000001</v>
      </c>
    </row>
    <row r="131" spans="1:8" x14ac:dyDescent="0.2">
      <c r="A131" s="16" t="s">
        <v>143</v>
      </c>
      <c r="B131" s="13">
        <v>21.49</v>
      </c>
      <c r="C131" s="13">
        <v>21.49</v>
      </c>
      <c r="D131" s="13">
        <v>21.28</v>
      </c>
      <c r="E131" s="13">
        <v>21.36</v>
      </c>
      <c r="F131" s="13">
        <v>646778</v>
      </c>
      <c r="G131" s="21">
        <f t="shared" ref="G131:G194" si="4">E131*48</f>
        <v>1025.28</v>
      </c>
      <c r="H131" s="13">
        <f t="shared" ref="H131:H194" si="5">G131+J$2</f>
        <v>1043.68</v>
      </c>
    </row>
    <row r="132" spans="1:8" x14ac:dyDescent="0.2">
      <c r="A132" s="16" t="s">
        <v>144</v>
      </c>
      <c r="B132" s="13">
        <v>21.3</v>
      </c>
      <c r="C132" s="13">
        <v>21.43</v>
      </c>
      <c r="D132" s="13">
        <v>20.9</v>
      </c>
      <c r="E132" s="13">
        <v>21.34</v>
      </c>
      <c r="F132" s="13">
        <v>1043989</v>
      </c>
      <c r="G132" s="21">
        <f t="shared" si="4"/>
        <v>1024.32</v>
      </c>
      <c r="H132" s="13">
        <f t="shared" si="5"/>
        <v>1042.72</v>
      </c>
    </row>
    <row r="133" spans="1:8" x14ac:dyDescent="0.2">
      <c r="A133" s="16" t="s">
        <v>145</v>
      </c>
      <c r="B133" s="13">
        <v>21.3</v>
      </c>
      <c r="C133" s="13">
        <v>21.5</v>
      </c>
      <c r="D133" s="13">
        <v>21.21</v>
      </c>
      <c r="E133" s="13">
        <v>21.4</v>
      </c>
      <c r="F133" s="13">
        <v>668471</v>
      </c>
      <c r="G133" s="21">
        <f t="shared" si="4"/>
        <v>1027.1999999999998</v>
      </c>
      <c r="H133" s="13">
        <f t="shared" si="5"/>
        <v>1045.5999999999999</v>
      </c>
    </row>
    <row r="134" spans="1:8" x14ac:dyDescent="0.2">
      <c r="A134" s="16" t="s">
        <v>146</v>
      </c>
      <c r="B134" s="13">
        <v>21.6</v>
      </c>
      <c r="C134" s="13">
        <v>21.684999999999999</v>
      </c>
      <c r="D134" s="13">
        <v>21.4</v>
      </c>
      <c r="E134" s="13">
        <v>21.61</v>
      </c>
      <c r="F134" s="13">
        <v>1385105</v>
      </c>
      <c r="G134" s="21">
        <f t="shared" si="4"/>
        <v>1037.28</v>
      </c>
      <c r="H134" s="13">
        <f t="shared" si="5"/>
        <v>1055.68</v>
      </c>
    </row>
    <row r="135" spans="1:8" x14ac:dyDescent="0.2">
      <c r="A135" s="16" t="s">
        <v>147</v>
      </c>
      <c r="B135" s="13">
        <v>21.74</v>
      </c>
      <c r="C135" s="13">
        <v>22.05</v>
      </c>
      <c r="D135" s="13">
        <v>21.63</v>
      </c>
      <c r="E135" s="13">
        <v>21.95</v>
      </c>
      <c r="F135" s="13">
        <v>1449123</v>
      </c>
      <c r="G135" s="21">
        <f t="shared" si="4"/>
        <v>1053.5999999999999</v>
      </c>
      <c r="H135" s="13">
        <f t="shared" si="5"/>
        <v>1072</v>
      </c>
    </row>
    <row r="136" spans="1:8" x14ac:dyDescent="0.2">
      <c r="A136" s="16" t="s">
        <v>148</v>
      </c>
      <c r="B136" s="13">
        <v>22.2</v>
      </c>
      <c r="C136" s="13">
        <v>22.61</v>
      </c>
      <c r="D136" s="13">
        <v>21.97</v>
      </c>
      <c r="E136" s="13">
        <v>22.56</v>
      </c>
      <c r="F136" s="13">
        <v>1252361</v>
      </c>
      <c r="G136" s="21">
        <f t="shared" si="4"/>
        <v>1082.8799999999999</v>
      </c>
      <c r="H136" s="13">
        <f t="shared" si="5"/>
        <v>1101.28</v>
      </c>
    </row>
    <row r="137" spans="1:8" x14ac:dyDescent="0.2">
      <c r="A137" s="16" t="s">
        <v>149</v>
      </c>
      <c r="B137" s="13">
        <v>22.57</v>
      </c>
      <c r="C137" s="13">
        <v>22.6</v>
      </c>
      <c r="D137" s="13">
        <v>21.95</v>
      </c>
      <c r="E137" s="13">
        <v>22.04</v>
      </c>
      <c r="F137" s="13">
        <v>988346</v>
      </c>
      <c r="G137" s="21">
        <f t="shared" si="4"/>
        <v>1057.92</v>
      </c>
      <c r="H137" s="13">
        <f t="shared" si="5"/>
        <v>1076.3200000000002</v>
      </c>
    </row>
    <row r="138" spans="1:8" x14ac:dyDescent="0.2">
      <c r="A138" s="16" t="s">
        <v>150</v>
      </c>
      <c r="B138" s="13">
        <v>22.37</v>
      </c>
      <c r="C138" s="13">
        <v>22.43</v>
      </c>
      <c r="D138" s="13">
        <v>22.13</v>
      </c>
      <c r="E138" s="13">
        <v>22.24</v>
      </c>
      <c r="F138" s="13">
        <v>716227</v>
      </c>
      <c r="G138" s="21">
        <f t="shared" si="4"/>
        <v>1067.52</v>
      </c>
      <c r="H138" s="13">
        <f t="shared" si="5"/>
        <v>1085.92</v>
      </c>
    </row>
    <row r="139" spans="1:8" x14ac:dyDescent="0.2">
      <c r="A139" s="16" t="s">
        <v>151</v>
      </c>
      <c r="B139" s="13">
        <v>22.23</v>
      </c>
      <c r="C139" s="13">
        <v>22.29</v>
      </c>
      <c r="D139" s="13">
        <v>22.06</v>
      </c>
      <c r="E139" s="13">
        <v>22.19</v>
      </c>
      <c r="F139" s="13">
        <v>545665</v>
      </c>
      <c r="G139" s="21">
        <f t="shared" si="4"/>
        <v>1065.1200000000001</v>
      </c>
      <c r="H139" s="13">
        <f t="shared" si="5"/>
        <v>1083.5200000000002</v>
      </c>
    </row>
    <row r="140" spans="1:8" x14ac:dyDescent="0.2">
      <c r="A140" s="16" t="s">
        <v>152</v>
      </c>
      <c r="B140" s="13">
        <v>22.34</v>
      </c>
      <c r="C140" s="13">
        <v>22.75</v>
      </c>
      <c r="D140" s="13">
        <v>22.22</v>
      </c>
      <c r="E140" s="13">
        <v>22.66</v>
      </c>
      <c r="F140" s="13">
        <v>1327132</v>
      </c>
      <c r="G140" s="21">
        <f t="shared" si="4"/>
        <v>1087.68</v>
      </c>
      <c r="H140" s="13">
        <f t="shared" si="5"/>
        <v>1106.0800000000002</v>
      </c>
    </row>
    <row r="141" spans="1:8" x14ac:dyDescent="0.2">
      <c r="A141" s="16" t="s">
        <v>153</v>
      </c>
      <c r="B141" s="13">
        <v>22.78</v>
      </c>
      <c r="C141" s="13">
        <v>23.04</v>
      </c>
      <c r="D141" s="13">
        <v>22.67</v>
      </c>
      <c r="E141" s="13">
        <v>23</v>
      </c>
      <c r="F141" s="13">
        <v>1543790</v>
      </c>
      <c r="G141" s="21">
        <f t="shared" si="4"/>
        <v>1104</v>
      </c>
      <c r="H141" s="13">
        <f t="shared" si="5"/>
        <v>1122.4000000000001</v>
      </c>
    </row>
    <row r="142" spans="1:8" x14ac:dyDescent="0.2">
      <c r="A142" s="16" t="s">
        <v>154</v>
      </c>
      <c r="B142" s="13">
        <v>23.01</v>
      </c>
      <c r="C142" s="13">
        <v>23.06</v>
      </c>
      <c r="D142" s="13">
        <v>22.81</v>
      </c>
      <c r="E142" s="13">
        <v>23.01</v>
      </c>
      <c r="F142" s="13">
        <v>929437</v>
      </c>
      <c r="G142" s="21">
        <f t="shared" si="4"/>
        <v>1104.48</v>
      </c>
      <c r="H142" s="13">
        <f t="shared" si="5"/>
        <v>1122.8800000000001</v>
      </c>
    </row>
    <row r="143" spans="1:8" x14ac:dyDescent="0.2">
      <c r="A143" s="16" t="s">
        <v>155</v>
      </c>
      <c r="B143" s="13">
        <v>21.65</v>
      </c>
      <c r="C143" s="13">
        <v>22.42</v>
      </c>
      <c r="D143" s="13">
        <v>20.98</v>
      </c>
      <c r="E143" s="13">
        <v>21.92</v>
      </c>
      <c r="F143" s="13">
        <v>3785100</v>
      </c>
      <c r="G143" s="21">
        <f t="shared" si="4"/>
        <v>1052.1600000000001</v>
      </c>
      <c r="H143" s="13">
        <f t="shared" si="5"/>
        <v>1070.5600000000002</v>
      </c>
    </row>
    <row r="144" spans="1:8" x14ac:dyDescent="0.2">
      <c r="A144" s="16" t="s">
        <v>156</v>
      </c>
      <c r="B144" s="13">
        <v>21.89</v>
      </c>
      <c r="C144" s="13">
        <v>22.09</v>
      </c>
      <c r="D144" s="13">
        <v>21.24</v>
      </c>
      <c r="E144" s="13">
        <v>21.3</v>
      </c>
      <c r="F144" s="13">
        <v>1207769</v>
      </c>
      <c r="G144" s="21">
        <f t="shared" si="4"/>
        <v>1022.4000000000001</v>
      </c>
      <c r="H144" s="13">
        <f t="shared" si="5"/>
        <v>1040.8000000000002</v>
      </c>
    </row>
    <row r="145" spans="1:8" x14ac:dyDescent="0.2">
      <c r="A145" s="16" t="s">
        <v>157</v>
      </c>
      <c r="B145" s="13">
        <v>21.49</v>
      </c>
      <c r="C145" s="13">
        <v>21.62</v>
      </c>
      <c r="D145" s="13">
        <v>21.26</v>
      </c>
      <c r="E145" s="13">
        <v>21.4</v>
      </c>
      <c r="F145" s="13">
        <v>782536</v>
      </c>
      <c r="G145" s="21">
        <f t="shared" si="4"/>
        <v>1027.1999999999998</v>
      </c>
      <c r="H145" s="13">
        <f t="shared" si="5"/>
        <v>1045.5999999999999</v>
      </c>
    </row>
    <row r="146" spans="1:8" x14ac:dyDescent="0.2">
      <c r="A146" s="16" t="s">
        <v>158</v>
      </c>
      <c r="B146" s="13">
        <v>21.63</v>
      </c>
      <c r="C146" s="13">
        <v>21.7</v>
      </c>
      <c r="D146" s="13">
        <v>21.41</v>
      </c>
      <c r="E146" s="13">
        <v>21.6</v>
      </c>
      <c r="F146" s="13">
        <v>580409</v>
      </c>
      <c r="G146" s="21">
        <f t="shared" si="4"/>
        <v>1036.8000000000002</v>
      </c>
      <c r="H146" s="13">
        <f t="shared" si="5"/>
        <v>1055.2000000000003</v>
      </c>
    </row>
    <row r="147" spans="1:8" x14ac:dyDescent="0.2">
      <c r="A147" s="16" t="s">
        <v>159</v>
      </c>
      <c r="B147" s="13">
        <v>21.41</v>
      </c>
      <c r="C147" s="13">
        <v>21.66</v>
      </c>
      <c r="D147" s="13">
        <v>21.25</v>
      </c>
      <c r="E147" s="13">
        <v>21.56</v>
      </c>
      <c r="F147" s="13">
        <v>606895</v>
      </c>
      <c r="G147" s="21">
        <f t="shared" si="4"/>
        <v>1034.8799999999999</v>
      </c>
      <c r="H147" s="13">
        <f t="shared" si="5"/>
        <v>1053.28</v>
      </c>
    </row>
    <row r="148" spans="1:8" x14ac:dyDescent="0.2">
      <c r="A148" s="16" t="s">
        <v>160</v>
      </c>
      <c r="B148" s="13">
        <v>21.68</v>
      </c>
      <c r="C148" s="13">
        <v>22.21</v>
      </c>
      <c r="D148" s="13">
        <v>21.52</v>
      </c>
      <c r="E148" s="13">
        <v>22.21</v>
      </c>
      <c r="F148" s="13">
        <v>874785</v>
      </c>
      <c r="G148" s="21">
        <f t="shared" si="4"/>
        <v>1066.08</v>
      </c>
      <c r="H148" s="13">
        <f t="shared" si="5"/>
        <v>1084.48</v>
      </c>
    </row>
    <row r="149" spans="1:8" x14ac:dyDescent="0.2">
      <c r="A149" s="16" t="s">
        <v>161</v>
      </c>
      <c r="B149" s="13">
        <v>22.14</v>
      </c>
      <c r="C149" s="13">
        <v>22.25</v>
      </c>
      <c r="D149" s="13">
        <v>21.66</v>
      </c>
      <c r="E149" s="13">
        <v>21.83</v>
      </c>
      <c r="F149" s="13">
        <v>907279</v>
      </c>
      <c r="G149" s="21">
        <f t="shared" si="4"/>
        <v>1047.8399999999999</v>
      </c>
      <c r="H149" s="13">
        <f t="shared" si="5"/>
        <v>1066.24</v>
      </c>
    </row>
    <row r="150" spans="1:8" x14ac:dyDescent="0.2">
      <c r="A150" s="16" t="s">
        <v>162</v>
      </c>
      <c r="B150" s="13">
        <v>21.42</v>
      </c>
      <c r="C150" s="13">
        <v>21.47</v>
      </c>
      <c r="D150" s="13">
        <v>21.08</v>
      </c>
      <c r="E150" s="13">
        <v>21.11</v>
      </c>
      <c r="F150" s="13">
        <v>1043072</v>
      </c>
      <c r="G150" s="21">
        <f t="shared" si="4"/>
        <v>1013.28</v>
      </c>
      <c r="H150" s="13">
        <f t="shared" si="5"/>
        <v>1031.68</v>
      </c>
    </row>
    <row r="151" spans="1:8" x14ac:dyDescent="0.2">
      <c r="A151" s="16" t="s">
        <v>163</v>
      </c>
      <c r="B151" s="13">
        <v>20.8</v>
      </c>
      <c r="C151" s="13">
        <v>20.99</v>
      </c>
      <c r="D151" s="13">
        <v>20.260000000000002</v>
      </c>
      <c r="E151" s="13">
        <v>20.350000000000001</v>
      </c>
      <c r="F151" s="13">
        <v>1133387</v>
      </c>
      <c r="G151" s="21">
        <f t="shared" si="4"/>
        <v>976.80000000000007</v>
      </c>
      <c r="H151" s="13">
        <f t="shared" si="5"/>
        <v>995.20000000000016</v>
      </c>
    </row>
    <row r="152" spans="1:8" x14ac:dyDescent="0.2">
      <c r="A152" s="16" t="s">
        <v>164</v>
      </c>
      <c r="B152" s="13">
        <v>20.3</v>
      </c>
      <c r="C152" s="13">
        <v>20.635000000000002</v>
      </c>
      <c r="D152" s="13">
        <v>20.260000000000002</v>
      </c>
      <c r="E152" s="13">
        <v>20.47</v>
      </c>
      <c r="F152" s="13">
        <v>980007</v>
      </c>
      <c r="G152" s="21">
        <f t="shared" si="4"/>
        <v>982.56</v>
      </c>
      <c r="H152" s="13">
        <f t="shared" si="5"/>
        <v>1000.96</v>
      </c>
    </row>
    <row r="153" spans="1:8" x14ac:dyDescent="0.2">
      <c r="A153" s="16" t="s">
        <v>165</v>
      </c>
      <c r="B153" s="13">
        <v>20.46</v>
      </c>
      <c r="C153" s="13">
        <v>20.46</v>
      </c>
      <c r="D153" s="13">
        <v>20.260000000000002</v>
      </c>
      <c r="E153" s="13">
        <v>20.329999999999998</v>
      </c>
      <c r="F153" s="13">
        <v>1338405</v>
      </c>
      <c r="G153" s="21">
        <f t="shared" si="4"/>
        <v>975.83999999999992</v>
      </c>
      <c r="H153" s="13">
        <f t="shared" si="5"/>
        <v>994.24</v>
      </c>
    </row>
    <row r="154" spans="1:8" x14ac:dyDescent="0.2">
      <c r="A154" s="16" t="s">
        <v>166</v>
      </c>
      <c r="B154" s="13">
        <v>20.25</v>
      </c>
      <c r="C154" s="13">
        <v>20.37</v>
      </c>
      <c r="D154" s="13">
        <v>20.12</v>
      </c>
      <c r="E154" s="13">
        <v>20.350000000000001</v>
      </c>
      <c r="F154" s="13">
        <v>679645</v>
      </c>
      <c r="G154" s="21">
        <f t="shared" si="4"/>
        <v>976.80000000000007</v>
      </c>
      <c r="H154" s="13">
        <f t="shared" si="5"/>
        <v>995.20000000000016</v>
      </c>
    </row>
    <row r="155" spans="1:8" x14ac:dyDescent="0.2">
      <c r="A155" s="16" t="s">
        <v>167</v>
      </c>
      <c r="B155" s="13">
        <v>20.5</v>
      </c>
      <c r="C155" s="13">
        <v>20.5</v>
      </c>
      <c r="D155" s="13">
        <v>20.100000000000001</v>
      </c>
      <c r="E155" s="13">
        <v>20.239999999999998</v>
      </c>
      <c r="F155" s="13">
        <v>1931282</v>
      </c>
      <c r="G155" s="21">
        <f t="shared" si="4"/>
        <v>971.52</v>
      </c>
      <c r="H155" s="13">
        <f t="shared" si="5"/>
        <v>989.92000000000007</v>
      </c>
    </row>
    <row r="156" spans="1:8" x14ac:dyDescent="0.2">
      <c r="A156" s="16" t="s">
        <v>168</v>
      </c>
      <c r="B156" s="13">
        <v>20.399999999999999</v>
      </c>
      <c r="C156" s="13">
        <v>20.54</v>
      </c>
      <c r="D156" s="13">
        <v>20.25</v>
      </c>
      <c r="E156" s="13">
        <v>20.54</v>
      </c>
      <c r="F156" s="13">
        <v>990000</v>
      </c>
      <c r="G156" s="21">
        <f t="shared" si="4"/>
        <v>985.92</v>
      </c>
      <c r="H156" s="13">
        <f t="shared" si="5"/>
        <v>1004.32</v>
      </c>
    </row>
    <row r="157" spans="1:8" x14ac:dyDescent="0.2">
      <c r="A157" s="16" t="s">
        <v>169</v>
      </c>
      <c r="B157" s="13">
        <v>20.45</v>
      </c>
      <c r="C157" s="13">
        <v>20.5</v>
      </c>
      <c r="D157" s="13">
        <v>20.149999999999999</v>
      </c>
      <c r="E157" s="13">
        <v>20.239999999999998</v>
      </c>
      <c r="F157" s="13">
        <v>868794</v>
      </c>
      <c r="G157" s="21">
        <f t="shared" si="4"/>
        <v>971.52</v>
      </c>
      <c r="H157" s="13">
        <f t="shared" si="5"/>
        <v>989.92000000000007</v>
      </c>
    </row>
    <row r="158" spans="1:8" x14ac:dyDescent="0.2">
      <c r="A158" s="16" t="s">
        <v>170</v>
      </c>
      <c r="B158" s="13">
        <v>20.5</v>
      </c>
      <c r="C158" s="13">
        <v>20.5</v>
      </c>
      <c r="D158" s="13">
        <v>20.2</v>
      </c>
      <c r="E158" s="13">
        <v>20.41</v>
      </c>
      <c r="F158" s="13">
        <v>1032344</v>
      </c>
      <c r="G158" s="21">
        <f t="shared" si="4"/>
        <v>979.68000000000006</v>
      </c>
      <c r="H158" s="13">
        <f t="shared" si="5"/>
        <v>998.08000000000015</v>
      </c>
    </row>
    <row r="159" spans="1:8" x14ac:dyDescent="0.2">
      <c r="A159" s="16" t="s">
        <v>171</v>
      </c>
      <c r="B159" s="13">
        <v>20.350000000000001</v>
      </c>
      <c r="C159" s="13">
        <v>20.65</v>
      </c>
      <c r="D159" s="13">
        <v>20.28</v>
      </c>
      <c r="E159" s="13">
        <v>20.48</v>
      </c>
      <c r="F159" s="13">
        <v>656109</v>
      </c>
      <c r="G159" s="21">
        <f t="shared" si="4"/>
        <v>983.04</v>
      </c>
      <c r="H159" s="13">
        <f t="shared" si="5"/>
        <v>1001.44</v>
      </c>
    </row>
    <row r="160" spans="1:8" x14ac:dyDescent="0.2">
      <c r="A160" s="16" t="s">
        <v>172</v>
      </c>
      <c r="B160" s="13">
        <v>20.63</v>
      </c>
      <c r="C160" s="13">
        <v>20.7</v>
      </c>
      <c r="D160" s="13">
        <v>20.190000000000001</v>
      </c>
      <c r="E160" s="13">
        <v>20.399999999999999</v>
      </c>
      <c r="F160" s="13">
        <v>1278903</v>
      </c>
      <c r="G160" s="21">
        <f t="shared" si="4"/>
        <v>979.19999999999993</v>
      </c>
      <c r="H160" s="13">
        <f t="shared" si="5"/>
        <v>997.6</v>
      </c>
    </row>
    <row r="161" spans="1:8" x14ac:dyDescent="0.2">
      <c r="A161" s="16" t="s">
        <v>173</v>
      </c>
      <c r="B161" s="13">
        <v>20.3</v>
      </c>
      <c r="C161" s="13">
        <v>20.36</v>
      </c>
      <c r="D161" s="13">
        <v>20</v>
      </c>
      <c r="E161" s="13">
        <v>20.25</v>
      </c>
      <c r="F161" s="13">
        <v>1006672</v>
      </c>
      <c r="G161" s="21">
        <f t="shared" si="4"/>
        <v>972</v>
      </c>
      <c r="H161" s="13">
        <f t="shared" si="5"/>
        <v>990.40000000000009</v>
      </c>
    </row>
    <row r="162" spans="1:8" x14ac:dyDescent="0.2">
      <c r="A162" s="16" t="s">
        <v>174</v>
      </c>
      <c r="B162" s="13">
        <v>20.260000000000002</v>
      </c>
      <c r="C162" s="13">
        <v>20.34</v>
      </c>
      <c r="D162" s="13">
        <v>19.98</v>
      </c>
      <c r="E162" s="13">
        <v>20.21</v>
      </c>
      <c r="F162" s="13">
        <v>934745</v>
      </c>
      <c r="G162" s="21">
        <f t="shared" si="4"/>
        <v>970.08</v>
      </c>
      <c r="H162" s="13">
        <f t="shared" si="5"/>
        <v>988.48000000000013</v>
      </c>
    </row>
    <row r="163" spans="1:8" x14ac:dyDescent="0.2">
      <c r="A163" s="16" t="s">
        <v>175</v>
      </c>
      <c r="B163" s="13">
        <v>20.09</v>
      </c>
      <c r="C163" s="13">
        <v>20.18</v>
      </c>
      <c r="D163" s="13">
        <v>19.649999999999999</v>
      </c>
      <c r="E163" s="13">
        <v>20.12</v>
      </c>
      <c r="F163" s="13">
        <v>1320032</v>
      </c>
      <c r="G163" s="21">
        <f t="shared" si="4"/>
        <v>965.76</v>
      </c>
      <c r="H163" s="13">
        <f t="shared" si="5"/>
        <v>984.16000000000008</v>
      </c>
    </row>
    <row r="164" spans="1:8" x14ac:dyDescent="0.2">
      <c r="A164" s="16" t="s">
        <v>176</v>
      </c>
      <c r="B164" s="13">
        <v>20.2</v>
      </c>
      <c r="C164" s="13">
        <v>20.2</v>
      </c>
      <c r="D164" s="13">
        <v>19.600000000000001</v>
      </c>
      <c r="E164" s="13">
        <v>19.600000000000001</v>
      </c>
      <c r="F164" s="13">
        <v>1257775</v>
      </c>
      <c r="G164" s="21">
        <f t="shared" si="4"/>
        <v>940.80000000000007</v>
      </c>
      <c r="H164" s="13">
        <f t="shared" si="5"/>
        <v>959.20000000000016</v>
      </c>
    </row>
    <row r="165" spans="1:8" x14ac:dyDescent="0.2">
      <c r="A165" s="16" t="s">
        <v>177</v>
      </c>
      <c r="B165" s="13">
        <v>19.64</v>
      </c>
      <c r="C165" s="13">
        <v>19.97</v>
      </c>
      <c r="D165" s="13">
        <v>19.61</v>
      </c>
      <c r="E165" s="13">
        <v>19.97</v>
      </c>
      <c r="F165" s="13">
        <v>817175</v>
      </c>
      <c r="G165" s="21">
        <f t="shared" si="4"/>
        <v>958.56</v>
      </c>
      <c r="H165" s="13">
        <f t="shared" si="5"/>
        <v>976.96</v>
      </c>
    </row>
    <row r="166" spans="1:8" x14ac:dyDescent="0.2">
      <c r="A166" s="16" t="s">
        <v>178</v>
      </c>
      <c r="B166" s="13">
        <v>20.100000000000001</v>
      </c>
      <c r="C166" s="13">
        <v>20.13</v>
      </c>
      <c r="D166" s="13">
        <v>19.47</v>
      </c>
      <c r="E166" s="13">
        <v>19.649999999999999</v>
      </c>
      <c r="F166" s="13">
        <v>1603158</v>
      </c>
      <c r="G166" s="21">
        <f t="shared" si="4"/>
        <v>943.19999999999993</v>
      </c>
      <c r="H166" s="13">
        <f t="shared" si="5"/>
        <v>961.6</v>
      </c>
    </row>
    <row r="167" spans="1:8" x14ac:dyDescent="0.2">
      <c r="A167" s="16" t="s">
        <v>179</v>
      </c>
      <c r="B167" s="13">
        <v>19.43</v>
      </c>
      <c r="C167" s="13">
        <v>19.489999999999998</v>
      </c>
      <c r="D167" s="13">
        <v>19.09</v>
      </c>
      <c r="E167" s="13">
        <v>19.329999999999998</v>
      </c>
      <c r="F167" s="13">
        <v>2061090</v>
      </c>
      <c r="G167" s="21">
        <f t="shared" si="4"/>
        <v>927.83999999999992</v>
      </c>
      <c r="H167" s="13">
        <f t="shared" si="5"/>
        <v>946.24</v>
      </c>
    </row>
    <row r="168" spans="1:8" x14ac:dyDescent="0.2">
      <c r="A168" s="16" t="s">
        <v>180</v>
      </c>
      <c r="B168" s="13">
        <v>19.760000000000002</v>
      </c>
      <c r="C168" s="13">
        <v>20.059999999999999</v>
      </c>
      <c r="D168" s="13">
        <v>19.32</v>
      </c>
      <c r="E168" s="13">
        <v>20.05</v>
      </c>
      <c r="F168" s="13">
        <v>2669489</v>
      </c>
      <c r="G168" s="21">
        <f t="shared" si="4"/>
        <v>962.40000000000009</v>
      </c>
      <c r="H168" s="13">
        <f t="shared" si="5"/>
        <v>980.80000000000018</v>
      </c>
    </row>
    <row r="169" spans="1:8" x14ac:dyDescent="0.2">
      <c r="A169" s="16" t="s">
        <v>181</v>
      </c>
      <c r="B169" s="13">
        <v>20.420000000000002</v>
      </c>
      <c r="C169" s="13">
        <v>20.7</v>
      </c>
      <c r="D169" s="13">
        <v>20.28</v>
      </c>
      <c r="E169" s="13">
        <v>20.47</v>
      </c>
      <c r="F169" s="13">
        <v>2850937</v>
      </c>
      <c r="G169" s="21">
        <f t="shared" si="4"/>
        <v>982.56</v>
      </c>
      <c r="H169" s="13">
        <f t="shared" si="5"/>
        <v>1000.96</v>
      </c>
    </row>
    <row r="170" spans="1:8" x14ac:dyDescent="0.2">
      <c r="A170" s="16" t="s">
        <v>182</v>
      </c>
      <c r="B170" s="13">
        <v>20.420000000000002</v>
      </c>
      <c r="C170" s="13">
        <v>20.97</v>
      </c>
      <c r="D170" s="13">
        <v>20.3</v>
      </c>
      <c r="E170" s="13">
        <v>20.97</v>
      </c>
      <c r="F170" s="13">
        <v>1766320</v>
      </c>
      <c r="G170" s="21">
        <f t="shared" si="4"/>
        <v>1006.56</v>
      </c>
      <c r="H170" s="13">
        <f t="shared" si="5"/>
        <v>1024.96</v>
      </c>
    </row>
    <row r="171" spans="1:8" x14ac:dyDescent="0.2">
      <c r="A171" s="16" t="s">
        <v>183</v>
      </c>
      <c r="B171" s="13">
        <v>20.88</v>
      </c>
      <c r="C171" s="13">
        <v>21.52</v>
      </c>
      <c r="D171" s="13">
        <v>20.88</v>
      </c>
      <c r="E171" s="13">
        <v>21.52</v>
      </c>
      <c r="F171" s="13">
        <v>1176965</v>
      </c>
      <c r="G171" s="21">
        <f t="shared" si="4"/>
        <v>1032.96</v>
      </c>
      <c r="H171" s="13">
        <f t="shared" si="5"/>
        <v>1051.3600000000001</v>
      </c>
    </row>
    <row r="172" spans="1:8" x14ac:dyDescent="0.2">
      <c r="A172" s="16" t="s">
        <v>184</v>
      </c>
      <c r="B172" s="13">
        <v>21.28</v>
      </c>
      <c r="C172" s="13">
        <v>21.59</v>
      </c>
      <c r="D172" s="13">
        <v>21.2</v>
      </c>
      <c r="E172" s="13">
        <v>21.59</v>
      </c>
      <c r="F172" s="13">
        <v>864543</v>
      </c>
      <c r="G172" s="21">
        <f t="shared" si="4"/>
        <v>1036.32</v>
      </c>
      <c r="H172" s="13">
        <f t="shared" si="5"/>
        <v>1054.72</v>
      </c>
    </row>
    <row r="173" spans="1:8" x14ac:dyDescent="0.2">
      <c r="A173" s="16" t="s">
        <v>185</v>
      </c>
      <c r="B173" s="13">
        <v>21.35</v>
      </c>
      <c r="C173" s="13">
        <v>21.41</v>
      </c>
      <c r="D173" s="13">
        <v>21.1</v>
      </c>
      <c r="E173" s="13">
        <v>21.19</v>
      </c>
      <c r="F173" s="13">
        <v>1401794</v>
      </c>
      <c r="G173" s="21">
        <f t="shared" si="4"/>
        <v>1017.1200000000001</v>
      </c>
      <c r="H173" s="13">
        <f t="shared" si="5"/>
        <v>1035.5200000000002</v>
      </c>
    </row>
    <row r="174" spans="1:8" x14ac:dyDescent="0.2">
      <c r="A174" s="16" t="s">
        <v>186</v>
      </c>
      <c r="B174" s="13">
        <v>21.17</v>
      </c>
      <c r="C174" s="13">
        <v>21.39</v>
      </c>
      <c r="D174" s="13">
        <v>20.95</v>
      </c>
      <c r="E174" s="13">
        <v>21.05</v>
      </c>
      <c r="F174" s="13">
        <v>1151609</v>
      </c>
      <c r="G174" s="21">
        <f t="shared" si="4"/>
        <v>1010.4000000000001</v>
      </c>
      <c r="H174" s="13">
        <f t="shared" si="5"/>
        <v>1028.8000000000002</v>
      </c>
    </row>
    <row r="175" spans="1:8" x14ac:dyDescent="0.2">
      <c r="A175" s="16" t="s">
        <v>187</v>
      </c>
      <c r="B175" s="13">
        <v>21.06</v>
      </c>
      <c r="C175" s="13">
        <v>21.114999999999998</v>
      </c>
      <c r="D175" s="13">
        <v>20.66</v>
      </c>
      <c r="E175" s="13">
        <v>20.81</v>
      </c>
      <c r="F175" s="13">
        <v>953685</v>
      </c>
      <c r="G175" s="21">
        <f t="shared" si="4"/>
        <v>998.87999999999988</v>
      </c>
      <c r="H175" s="13">
        <f t="shared" si="5"/>
        <v>1017.28</v>
      </c>
    </row>
    <row r="176" spans="1:8" x14ac:dyDescent="0.2">
      <c r="A176" s="16" t="s">
        <v>188</v>
      </c>
      <c r="B176" s="13">
        <v>20.5</v>
      </c>
      <c r="C176" s="13">
        <v>20.7</v>
      </c>
      <c r="D176" s="13">
        <v>20.350000000000001</v>
      </c>
      <c r="E176" s="13">
        <v>20.7</v>
      </c>
      <c r="F176" s="13">
        <v>1151573</v>
      </c>
      <c r="G176" s="21">
        <f t="shared" si="4"/>
        <v>993.59999999999991</v>
      </c>
      <c r="H176" s="13">
        <f t="shared" si="5"/>
        <v>1012</v>
      </c>
    </row>
    <row r="177" spans="1:8" x14ac:dyDescent="0.2">
      <c r="A177" s="16" t="s">
        <v>189</v>
      </c>
      <c r="B177" s="13">
        <v>20.81</v>
      </c>
      <c r="C177" s="13">
        <v>21.05</v>
      </c>
      <c r="D177" s="13">
        <v>20.56</v>
      </c>
      <c r="E177" s="13">
        <v>20.66</v>
      </c>
      <c r="F177" s="13">
        <v>1196014</v>
      </c>
      <c r="G177" s="21">
        <f t="shared" si="4"/>
        <v>991.68000000000006</v>
      </c>
      <c r="H177" s="13">
        <f t="shared" si="5"/>
        <v>1010.0800000000002</v>
      </c>
    </row>
    <row r="178" spans="1:8" x14ac:dyDescent="0.2">
      <c r="A178" s="16" t="s">
        <v>190</v>
      </c>
      <c r="B178" s="13">
        <v>20.69</v>
      </c>
      <c r="C178" s="13">
        <v>20.89</v>
      </c>
      <c r="D178" s="13">
        <v>20.420000000000002</v>
      </c>
      <c r="E178" s="13">
        <v>20.89</v>
      </c>
      <c r="F178" s="13">
        <v>1564752</v>
      </c>
      <c r="G178" s="21">
        <f t="shared" si="4"/>
        <v>1002.72</v>
      </c>
      <c r="H178" s="13">
        <f t="shared" si="5"/>
        <v>1021.1200000000001</v>
      </c>
    </row>
    <row r="179" spans="1:8" x14ac:dyDescent="0.2">
      <c r="A179" s="16" t="s">
        <v>191</v>
      </c>
      <c r="B179" s="13">
        <v>20.98</v>
      </c>
      <c r="C179" s="13">
        <v>20.98</v>
      </c>
      <c r="D179" s="13">
        <v>20.5</v>
      </c>
      <c r="E179" s="13">
        <v>20.53</v>
      </c>
      <c r="F179" s="13">
        <v>982453</v>
      </c>
      <c r="G179" s="21">
        <f t="shared" si="4"/>
        <v>985.44</v>
      </c>
      <c r="H179" s="13">
        <f t="shared" si="5"/>
        <v>1003.8400000000001</v>
      </c>
    </row>
    <row r="180" spans="1:8" x14ac:dyDescent="0.2">
      <c r="A180" s="16" t="s">
        <v>192</v>
      </c>
      <c r="B180" s="13">
        <v>20.62</v>
      </c>
      <c r="C180" s="13">
        <v>20.91</v>
      </c>
      <c r="D180" s="13">
        <v>20.55</v>
      </c>
      <c r="E180" s="13">
        <v>20.66</v>
      </c>
      <c r="F180" s="13">
        <v>1238070</v>
      </c>
      <c r="G180" s="21">
        <f t="shared" si="4"/>
        <v>991.68000000000006</v>
      </c>
      <c r="H180" s="13">
        <f t="shared" si="5"/>
        <v>1010.0800000000002</v>
      </c>
    </row>
    <row r="181" spans="1:8" x14ac:dyDescent="0.2">
      <c r="A181" s="16" t="s">
        <v>193</v>
      </c>
      <c r="B181" s="13">
        <v>20.75</v>
      </c>
      <c r="C181" s="13">
        <v>20.88</v>
      </c>
      <c r="D181" s="13">
        <v>20.57</v>
      </c>
      <c r="E181" s="13">
        <v>20.7</v>
      </c>
      <c r="F181" s="13">
        <v>1188776</v>
      </c>
      <c r="G181" s="21">
        <f t="shared" si="4"/>
        <v>993.59999999999991</v>
      </c>
      <c r="H181" s="13">
        <f t="shared" si="5"/>
        <v>1012</v>
      </c>
    </row>
    <row r="182" spans="1:8" x14ac:dyDescent="0.2">
      <c r="A182" s="16" t="s">
        <v>194</v>
      </c>
      <c r="B182" s="13">
        <v>20.69</v>
      </c>
      <c r="C182" s="13">
        <v>20.85</v>
      </c>
      <c r="D182" s="13">
        <v>20.46</v>
      </c>
      <c r="E182" s="13">
        <v>20.85</v>
      </c>
      <c r="F182" s="13">
        <v>1169494</v>
      </c>
      <c r="G182" s="21">
        <f t="shared" si="4"/>
        <v>1000.8000000000001</v>
      </c>
      <c r="H182" s="13">
        <f t="shared" si="5"/>
        <v>1019.2000000000002</v>
      </c>
    </row>
    <row r="183" spans="1:8" x14ac:dyDescent="0.2">
      <c r="A183" s="16" t="s">
        <v>195</v>
      </c>
      <c r="B183" s="13">
        <v>20.47</v>
      </c>
      <c r="C183" s="13">
        <v>20.84</v>
      </c>
      <c r="D183" s="13">
        <v>20.41</v>
      </c>
      <c r="E183" s="13">
        <v>20.76</v>
      </c>
      <c r="F183" s="13">
        <v>1223425</v>
      </c>
      <c r="G183" s="21">
        <f t="shared" si="4"/>
        <v>996.48</v>
      </c>
      <c r="H183" s="13">
        <f t="shared" si="5"/>
        <v>1014.8800000000001</v>
      </c>
    </row>
    <row r="184" spans="1:8" x14ac:dyDescent="0.2">
      <c r="A184" s="16" t="s">
        <v>196</v>
      </c>
      <c r="B184" s="13">
        <v>20.87</v>
      </c>
      <c r="C184" s="13">
        <v>21.51</v>
      </c>
      <c r="D184" s="13">
        <v>20.63</v>
      </c>
      <c r="E184" s="13">
        <v>21.43</v>
      </c>
      <c r="F184" s="13">
        <v>1263070</v>
      </c>
      <c r="G184" s="21">
        <f t="shared" si="4"/>
        <v>1028.6399999999999</v>
      </c>
      <c r="H184" s="13">
        <f t="shared" si="5"/>
        <v>1047.04</v>
      </c>
    </row>
    <row r="185" spans="1:8" x14ac:dyDescent="0.2">
      <c r="A185" s="16" t="s">
        <v>197</v>
      </c>
      <c r="B185" s="13">
        <v>21.4</v>
      </c>
      <c r="C185" s="13">
        <v>21.91</v>
      </c>
      <c r="D185" s="13">
        <v>21.39</v>
      </c>
      <c r="E185" s="13">
        <v>21.91</v>
      </c>
      <c r="F185" s="13">
        <v>2705266</v>
      </c>
      <c r="G185" s="21">
        <f t="shared" si="4"/>
        <v>1051.68</v>
      </c>
      <c r="H185" s="13">
        <f t="shared" si="5"/>
        <v>1070.0800000000002</v>
      </c>
    </row>
    <row r="186" spans="1:8" x14ac:dyDescent="0.2">
      <c r="A186" s="16" t="s">
        <v>198</v>
      </c>
      <c r="B186" s="13">
        <v>21.55</v>
      </c>
      <c r="C186" s="13">
        <v>21.55</v>
      </c>
      <c r="D186" s="13">
        <v>21.2</v>
      </c>
      <c r="E186" s="13">
        <v>21.48</v>
      </c>
      <c r="F186" s="13">
        <v>620524</v>
      </c>
      <c r="G186" s="21">
        <f t="shared" si="4"/>
        <v>1031.04</v>
      </c>
      <c r="H186" s="13">
        <f t="shared" si="5"/>
        <v>1049.44</v>
      </c>
    </row>
    <row r="187" spans="1:8" x14ac:dyDescent="0.2">
      <c r="A187" s="16" t="s">
        <v>199</v>
      </c>
      <c r="B187" s="13">
        <v>21.48</v>
      </c>
      <c r="C187" s="13">
        <v>21.94</v>
      </c>
      <c r="D187" s="13">
        <v>21.37</v>
      </c>
      <c r="E187" s="13">
        <v>21.87</v>
      </c>
      <c r="F187" s="13">
        <v>1118918</v>
      </c>
      <c r="G187" s="21">
        <f t="shared" si="4"/>
        <v>1049.76</v>
      </c>
      <c r="H187" s="13">
        <f t="shared" si="5"/>
        <v>1068.1600000000001</v>
      </c>
    </row>
    <row r="188" spans="1:8" x14ac:dyDescent="0.2">
      <c r="A188" s="16" t="s">
        <v>200</v>
      </c>
      <c r="B188" s="13">
        <v>21.87</v>
      </c>
      <c r="C188" s="13">
        <v>22.4</v>
      </c>
      <c r="D188" s="13">
        <v>21.72</v>
      </c>
      <c r="E188" s="13">
        <v>21.95</v>
      </c>
      <c r="F188" s="13">
        <v>1204085</v>
      </c>
      <c r="G188" s="21">
        <f t="shared" si="4"/>
        <v>1053.5999999999999</v>
      </c>
      <c r="H188" s="13">
        <f t="shared" si="5"/>
        <v>1072</v>
      </c>
    </row>
    <row r="189" spans="1:8" x14ac:dyDescent="0.2">
      <c r="A189" s="16" t="s">
        <v>201</v>
      </c>
      <c r="B189" s="13">
        <v>21.95</v>
      </c>
      <c r="C189" s="13">
        <v>22.54</v>
      </c>
      <c r="D189" s="13">
        <v>21.9</v>
      </c>
      <c r="E189" s="13">
        <v>22.54</v>
      </c>
      <c r="F189" s="13">
        <v>1036660</v>
      </c>
      <c r="G189" s="21">
        <f t="shared" si="4"/>
        <v>1081.92</v>
      </c>
      <c r="H189" s="13">
        <f t="shared" si="5"/>
        <v>1100.3200000000002</v>
      </c>
    </row>
    <row r="190" spans="1:8" x14ac:dyDescent="0.2">
      <c r="A190" s="16" t="s">
        <v>202</v>
      </c>
      <c r="B190" s="13">
        <v>22.54</v>
      </c>
      <c r="C190" s="13">
        <v>22.54</v>
      </c>
      <c r="D190" s="13">
        <v>22.31</v>
      </c>
      <c r="E190" s="13">
        <v>22.45</v>
      </c>
      <c r="F190" s="13">
        <v>753733</v>
      </c>
      <c r="G190" s="21">
        <f t="shared" si="4"/>
        <v>1077.5999999999999</v>
      </c>
      <c r="H190" s="13">
        <f t="shared" si="5"/>
        <v>1096</v>
      </c>
    </row>
    <row r="191" spans="1:8" x14ac:dyDescent="0.2">
      <c r="A191" s="16" t="s">
        <v>203</v>
      </c>
      <c r="B191" s="13">
        <v>22.41</v>
      </c>
      <c r="C191" s="13">
        <v>22.59</v>
      </c>
      <c r="D191" s="13">
        <v>22.23</v>
      </c>
      <c r="E191" s="13">
        <v>22.35</v>
      </c>
      <c r="F191" s="13">
        <v>935053</v>
      </c>
      <c r="G191" s="21">
        <f t="shared" si="4"/>
        <v>1072.8000000000002</v>
      </c>
      <c r="H191" s="13">
        <f t="shared" si="5"/>
        <v>1091.2000000000003</v>
      </c>
    </row>
    <row r="192" spans="1:8" x14ac:dyDescent="0.2">
      <c r="A192" s="16" t="s">
        <v>204</v>
      </c>
      <c r="B192" s="13">
        <v>22.18</v>
      </c>
      <c r="C192" s="13">
        <v>22.3</v>
      </c>
      <c r="D192" s="13">
        <v>21.94</v>
      </c>
      <c r="E192" s="13">
        <v>22.21</v>
      </c>
      <c r="F192" s="13">
        <v>739318</v>
      </c>
      <c r="G192" s="21">
        <f t="shared" si="4"/>
        <v>1066.08</v>
      </c>
      <c r="H192" s="13">
        <f t="shared" si="5"/>
        <v>1084.48</v>
      </c>
    </row>
    <row r="193" spans="1:8" x14ac:dyDescent="0.2">
      <c r="A193" s="16" t="s">
        <v>205</v>
      </c>
      <c r="B193" s="13">
        <v>22.1</v>
      </c>
      <c r="C193" s="13">
        <v>22.19</v>
      </c>
      <c r="D193" s="13">
        <v>21.52</v>
      </c>
      <c r="E193" s="13">
        <v>21.68</v>
      </c>
      <c r="F193" s="13">
        <v>754242</v>
      </c>
      <c r="G193" s="21">
        <f t="shared" si="4"/>
        <v>1040.6399999999999</v>
      </c>
      <c r="H193" s="13">
        <f t="shared" si="5"/>
        <v>1059.04</v>
      </c>
    </row>
    <row r="194" spans="1:8" x14ac:dyDescent="0.2">
      <c r="A194" s="16" t="s">
        <v>206</v>
      </c>
      <c r="B194" s="13">
        <v>21.76</v>
      </c>
      <c r="C194" s="13">
        <v>21.8</v>
      </c>
      <c r="D194" s="13">
        <v>21.53</v>
      </c>
      <c r="E194" s="13">
        <v>21.61</v>
      </c>
      <c r="F194" s="13">
        <v>713563</v>
      </c>
      <c r="G194" s="21">
        <f t="shared" si="4"/>
        <v>1037.28</v>
      </c>
      <c r="H194" s="13">
        <f t="shared" si="5"/>
        <v>1055.68</v>
      </c>
    </row>
    <row r="195" spans="1:8" x14ac:dyDescent="0.2">
      <c r="A195" s="16" t="s">
        <v>207</v>
      </c>
      <c r="B195" s="13">
        <v>21.5</v>
      </c>
      <c r="C195" s="13">
        <v>21.574999999999999</v>
      </c>
      <c r="D195" s="13">
        <v>21.22</v>
      </c>
      <c r="E195" s="13">
        <v>21.24</v>
      </c>
      <c r="F195" s="13">
        <v>638458</v>
      </c>
      <c r="G195" s="21">
        <f t="shared" ref="G195:G255" si="6">E195*48</f>
        <v>1019.52</v>
      </c>
      <c r="H195" s="13">
        <f t="shared" ref="H195:H255" si="7">G195+J$2</f>
        <v>1037.92</v>
      </c>
    </row>
    <row r="196" spans="1:8" x14ac:dyDescent="0.2">
      <c r="A196" s="16" t="s">
        <v>208</v>
      </c>
      <c r="B196" s="13">
        <v>21.4</v>
      </c>
      <c r="C196" s="13">
        <v>21.8</v>
      </c>
      <c r="D196" s="13">
        <v>21.15</v>
      </c>
      <c r="E196" s="13">
        <v>21.67</v>
      </c>
      <c r="F196" s="13">
        <v>549893</v>
      </c>
      <c r="G196" s="21">
        <f t="shared" si="6"/>
        <v>1040.1600000000001</v>
      </c>
      <c r="H196" s="13">
        <f t="shared" si="7"/>
        <v>1058.5600000000002</v>
      </c>
    </row>
    <row r="197" spans="1:8" x14ac:dyDescent="0.2">
      <c r="A197" s="16" t="s">
        <v>209</v>
      </c>
      <c r="B197" s="13">
        <v>21.4</v>
      </c>
      <c r="C197" s="13">
        <v>21.64</v>
      </c>
      <c r="D197" s="13">
        <v>21.36</v>
      </c>
      <c r="E197" s="13">
        <v>21.62</v>
      </c>
      <c r="F197" s="13">
        <v>546182</v>
      </c>
      <c r="G197" s="21">
        <f t="shared" si="6"/>
        <v>1037.76</v>
      </c>
      <c r="H197" s="13">
        <f t="shared" si="7"/>
        <v>1056.1600000000001</v>
      </c>
    </row>
    <row r="198" spans="1:8" x14ac:dyDescent="0.2">
      <c r="A198" s="16" t="s">
        <v>210</v>
      </c>
      <c r="B198" s="13">
        <v>21.6</v>
      </c>
      <c r="C198" s="13">
        <v>21.97</v>
      </c>
      <c r="D198" s="13">
        <v>21.53</v>
      </c>
      <c r="E198" s="13">
        <v>21.92</v>
      </c>
      <c r="F198" s="13">
        <v>569087</v>
      </c>
      <c r="G198" s="21">
        <f t="shared" si="6"/>
        <v>1052.1600000000001</v>
      </c>
      <c r="H198" s="13">
        <f t="shared" si="7"/>
        <v>1070.5600000000002</v>
      </c>
    </row>
    <row r="199" spans="1:8" x14ac:dyDescent="0.2">
      <c r="A199" s="16" t="s">
        <v>211</v>
      </c>
      <c r="B199" s="13">
        <v>21.99</v>
      </c>
      <c r="C199" s="13">
        <v>22.11</v>
      </c>
      <c r="D199" s="13">
        <v>21.78</v>
      </c>
      <c r="E199" s="13">
        <v>21.85</v>
      </c>
      <c r="F199" s="13">
        <v>581021</v>
      </c>
      <c r="G199" s="21">
        <f t="shared" si="6"/>
        <v>1048.8000000000002</v>
      </c>
      <c r="H199" s="13">
        <f t="shared" si="7"/>
        <v>1067.2000000000003</v>
      </c>
    </row>
    <row r="200" spans="1:8" x14ac:dyDescent="0.2">
      <c r="A200" s="16" t="s">
        <v>212</v>
      </c>
      <c r="B200" s="13">
        <v>21.7</v>
      </c>
      <c r="C200" s="13">
        <v>22.02</v>
      </c>
      <c r="D200" s="13">
        <v>21.68</v>
      </c>
      <c r="E200" s="13">
        <v>21.89</v>
      </c>
      <c r="F200" s="13">
        <v>450146</v>
      </c>
      <c r="G200" s="21">
        <f t="shared" si="6"/>
        <v>1050.72</v>
      </c>
      <c r="H200" s="13">
        <f t="shared" si="7"/>
        <v>1069.1200000000001</v>
      </c>
    </row>
    <row r="201" spans="1:8" x14ac:dyDescent="0.2">
      <c r="A201" s="16" t="s">
        <v>213</v>
      </c>
      <c r="B201" s="13">
        <v>21.85</v>
      </c>
      <c r="C201" s="13">
        <v>21.92</v>
      </c>
      <c r="D201" s="13">
        <v>21.13</v>
      </c>
      <c r="E201" s="13">
        <v>21.51</v>
      </c>
      <c r="F201" s="13">
        <v>909288</v>
      </c>
      <c r="G201" s="21">
        <f t="shared" si="6"/>
        <v>1032.48</v>
      </c>
      <c r="H201" s="13">
        <f t="shared" si="7"/>
        <v>1050.8800000000001</v>
      </c>
    </row>
    <row r="202" spans="1:8" x14ac:dyDescent="0.2">
      <c r="A202" s="16" t="s">
        <v>214</v>
      </c>
      <c r="B202" s="13">
        <v>21.61</v>
      </c>
      <c r="C202" s="13">
        <v>21.66</v>
      </c>
      <c r="D202" s="13">
        <v>21.385000000000002</v>
      </c>
      <c r="E202" s="13">
        <v>21.52</v>
      </c>
      <c r="F202" s="13">
        <v>1401502</v>
      </c>
      <c r="G202" s="21">
        <f t="shared" si="6"/>
        <v>1032.96</v>
      </c>
      <c r="H202" s="13">
        <f t="shared" si="7"/>
        <v>1051.3600000000001</v>
      </c>
    </row>
    <row r="203" spans="1:8" x14ac:dyDescent="0.2">
      <c r="A203" s="16" t="s">
        <v>215</v>
      </c>
      <c r="B203" s="13">
        <v>21.41</v>
      </c>
      <c r="C203" s="13">
        <v>21.52</v>
      </c>
      <c r="D203" s="13">
        <v>21.33</v>
      </c>
      <c r="E203" s="13">
        <v>21.33</v>
      </c>
      <c r="F203" s="13">
        <v>637512</v>
      </c>
      <c r="G203" s="21">
        <f t="shared" si="6"/>
        <v>1023.8399999999999</v>
      </c>
      <c r="H203" s="13">
        <f t="shared" si="7"/>
        <v>1042.24</v>
      </c>
    </row>
    <row r="204" spans="1:8" x14ac:dyDescent="0.2">
      <c r="A204" s="16" t="s">
        <v>216</v>
      </c>
      <c r="B204" s="13">
        <v>21.6</v>
      </c>
      <c r="C204" s="13">
        <v>21.68</v>
      </c>
      <c r="D204" s="13">
        <v>21.36</v>
      </c>
      <c r="E204" s="13">
        <v>21.62</v>
      </c>
      <c r="F204" s="13">
        <v>719489</v>
      </c>
      <c r="G204" s="21">
        <f t="shared" si="6"/>
        <v>1037.76</v>
      </c>
      <c r="H204" s="13">
        <f t="shared" si="7"/>
        <v>1056.1600000000001</v>
      </c>
    </row>
    <row r="205" spans="1:8" x14ac:dyDescent="0.2">
      <c r="A205" s="16" t="s">
        <v>217</v>
      </c>
      <c r="B205" s="13">
        <v>19.760000000000002</v>
      </c>
      <c r="C205" s="13">
        <v>19.899999999999999</v>
      </c>
      <c r="D205" s="13">
        <v>17.100000000000001</v>
      </c>
      <c r="E205" s="13">
        <v>17.2</v>
      </c>
      <c r="F205" s="13">
        <v>8260856</v>
      </c>
      <c r="G205" s="21">
        <f t="shared" si="6"/>
        <v>825.59999999999991</v>
      </c>
      <c r="H205" s="13">
        <f t="shared" si="7"/>
        <v>844</v>
      </c>
    </row>
    <row r="206" spans="1:8" x14ac:dyDescent="0.2">
      <c r="A206" s="16" t="s">
        <v>218</v>
      </c>
      <c r="B206" s="13">
        <v>17.239999999999998</v>
      </c>
      <c r="C206" s="13">
        <v>17.78</v>
      </c>
      <c r="D206" s="13">
        <v>17.239999999999998</v>
      </c>
      <c r="E206" s="13">
        <v>17.309999999999999</v>
      </c>
      <c r="F206" s="13">
        <v>4801744</v>
      </c>
      <c r="G206" s="21">
        <f t="shared" si="6"/>
        <v>830.87999999999988</v>
      </c>
      <c r="H206" s="13">
        <f t="shared" si="7"/>
        <v>849.28</v>
      </c>
    </row>
    <row r="207" spans="1:8" x14ac:dyDescent="0.2">
      <c r="A207" s="16" t="s">
        <v>219</v>
      </c>
      <c r="B207" s="13">
        <v>17.350000000000001</v>
      </c>
      <c r="C207" s="13">
        <v>17.45</v>
      </c>
      <c r="D207" s="13">
        <v>16.785</v>
      </c>
      <c r="E207" s="13">
        <v>16.87</v>
      </c>
      <c r="F207" s="13">
        <v>3065599</v>
      </c>
      <c r="G207" s="21">
        <f t="shared" si="6"/>
        <v>809.76</v>
      </c>
      <c r="H207" s="13">
        <f t="shared" si="7"/>
        <v>828.16000000000008</v>
      </c>
    </row>
    <row r="208" spans="1:8" x14ac:dyDescent="0.2">
      <c r="A208" s="16" t="s">
        <v>220</v>
      </c>
      <c r="B208" s="13">
        <v>17.02</v>
      </c>
      <c r="C208" s="13">
        <v>17.32</v>
      </c>
      <c r="D208" s="13">
        <v>16.37</v>
      </c>
      <c r="E208" s="13">
        <v>16.37</v>
      </c>
      <c r="F208" s="13">
        <v>2924513</v>
      </c>
      <c r="G208" s="21">
        <f t="shared" si="6"/>
        <v>785.76</v>
      </c>
      <c r="H208" s="13">
        <f t="shared" si="7"/>
        <v>804.16000000000008</v>
      </c>
    </row>
    <row r="209" spans="1:8" x14ac:dyDescent="0.2">
      <c r="A209" s="16" t="s">
        <v>221</v>
      </c>
      <c r="B209" s="13">
        <v>16.38</v>
      </c>
      <c r="C209" s="13">
        <v>16.54</v>
      </c>
      <c r="D209" s="13">
        <v>15.86</v>
      </c>
      <c r="E209" s="13">
        <v>15.86</v>
      </c>
      <c r="F209" s="13">
        <v>3222367</v>
      </c>
      <c r="G209" s="21">
        <f t="shared" si="6"/>
        <v>761.28</v>
      </c>
      <c r="H209" s="13">
        <f t="shared" si="7"/>
        <v>779.68000000000006</v>
      </c>
    </row>
    <row r="210" spans="1:8" x14ac:dyDescent="0.2">
      <c r="A210" s="16" t="s">
        <v>222</v>
      </c>
      <c r="B210" s="13">
        <v>16.04</v>
      </c>
      <c r="C210" s="13">
        <v>16.489999999999998</v>
      </c>
      <c r="D210" s="13">
        <v>15.89</v>
      </c>
      <c r="E210" s="13">
        <v>15.89</v>
      </c>
      <c r="F210" s="13">
        <v>3158703</v>
      </c>
      <c r="G210" s="21">
        <f t="shared" si="6"/>
        <v>762.72</v>
      </c>
      <c r="H210" s="13">
        <f t="shared" si="7"/>
        <v>781.12000000000012</v>
      </c>
    </row>
    <row r="211" spans="1:8" x14ac:dyDescent="0.2">
      <c r="A211" s="16" t="s">
        <v>223</v>
      </c>
      <c r="B211" s="13">
        <v>16.02</v>
      </c>
      <c r="C211" s="13">
        <v>16.079999999999998</v>
      </c>
      <c r="D211" s="13">
        <v>15.6</v>
      </c>
      <c r="E211" s="13">
        <v>15.68</v>
      </c>
      <c r="F211" s="13">
        <v>2553116</v>
      </c>
      <c r="G211" s="21">
        <f t="shared" si="6"/>
        <v>752.64</v>
      </c>
      <c r="H211" s="13">
        <f t="shared" si="7"/>
        <v>771.04000000000008</v>
      </c>
    </row>
    <row r="212" spans="1:8" x14ac:dyDescent="0.2">
      <c r="A212" s="16" t="s">
        <v>224</v>
      </c>
      <c r="B212" s="13">
        <v>15.8</v>
      </c>
      <c r="C212" s="13">
        <v>15.95</v>
      </c>
      <c r="D212" s="13">
        <v>15.67</v>
      </c>
      <c r="E212" s="13">
        <v>15.67</v>
      </c>
      <c r="F212" s="13">
        <v>2815069</v>
      </c>
      <c r="G212" s="21">
        <f t="shared" si="6"/>
        <v>752.16</v>
      </c>
      <c r="H212" s="13">
        <f t="shared" si="7"/>
        <v>770.56000000000006</v>
      </c>
    </row>
    <row r="213" spans="1:8" x14ac:dyDescent="0.2">
      <c r="A213" s="16" t="s">
        <v>225</v>
      </c>
      <c r="B213" s="13">
        <v>15.72</v>
      </c>
      <c r="C213" s="13">
        <v>16.010000000000002</v>
      </c>
      <c r="D213" s="13">
        <v>15.72</v>
      </c>
      <c r="E213" s="13">
        <v>15.9</v>
      </c>
      <c r="F213" s="13">
        <v>1725141</v>
      </c>
      <c r="G213" s="21">
        <f t="shared" si="6"/>
        <v>763.2</v>
      </c>
      <c r="H213" s="13">
        <f t="shared" si="7"/>
        <v>781.60000000000014</v>
      </c>
    </row>
    <row r="214" spans="1:8" x14ac:dyDescent="0.2">
      <c r="A214" s="16" t="s">
        <v>226</v>
      </c>
      <c r="B214" s="13">
        <v>15.92</v>
      </c>
      <c r="C214" s="13">
        <v>16.18</v>
      </c>
      <c r="D214" s="13">
        <v>15.82</v>
      </c>
      <c r="E214" s="13">
        <v>15.98</v>
      </c>
      <c r="F214" s="13">
        <v>1862195</v>
      </c>
      <c r="G214" s="21">
        <f t="shared" si="6"/>
        <v>767.04</v>
      </c>
      <c r="H214" s="13">
        <f t="shared" si="7"/>
        <v>785.44</v>
      </c>
    </row>
    <row r="215" spans="1:8" x14ac:dyDescent="0.2">
      <c r="A215" s="16" t="s">
        <v>227</v>
      </c>
      <c r="B215" s="13">
        <v>15.88</v>
      </c>
      <c r="C215" s="13">
        <v>15.94</v>
      </c>
      <c r="D215" s="13">
        <v>15.62</v>
      </c>
      <c r="E215" s="13">
        <v>15.73</v>
      </c>
      <c r="F215" s="13">
        <v>1596340</v>
      </c>
      <c r="G215" s="21">
        <f t="shared" si="6"/>
        <v>755.04</v>
      </c>
      <c r="H215" s="13">
        <f t="shared" si="7"/>
        <v>773.44</v>
      </c>
    </row>
    <row r="216" spans="1:8" x14ac:dyDescent="0.2">
      <c r="A216" s="16" t="s">
        <v>228</v>
      </c>
      <c r="B216" s="13">
        <v>15.75</v>
      </c>
      <c r="C216" s="13">
        <v>15.75</v>
      </c>
      <c r="D216" s="13">
        <v>15.45</v>
      </c>
      <c r="E216" s="13">
        <v>15.53</v>
      </c>
      <c r="F216" s="13">
        <v>2084397</v>
      </c>
      <c r="G216" s="21">
        <f t="shared" si="6"/>
        <v>745.43999999999994</v>
      </c>
      <c r="H216" s="13">
        <f t="shared" si="7"/>
        <v>763.84</v>
      </c>
    </row>
    <row r="217" spans="1:8" x14ac:dyDescent="0.2">
      <c r="A217" s="16" t="s">
        <v>229</v>
      </c>
      <c r="B217" s="13">
        <v>15.58</v>
      </c>
      <c r="C217" s="13">
        <v>15.65</v>
      </c>
      <c r="D217" s="13">
        <v>15.43</v>
      </c>
      <c r="E217" s="13">
        <v>15.65</v>
      </c>
      <c r="F217" s="13">
        <v>930275</v>
      </c>
      <c r="G217" s="21">
        <f t="shared" si="6"/>
        <v>751.2</v>
      </c>
      <c r="H217" s="13">
        <f t="shared" si="7"/>
        <v>769.60000000000014</v>
      </c>
    </row>
    <row r="218" spans="1:8" x14ac:dyDescent="0.2">
      <c r="A218" s="16" t="s">
        <v>230</v>
      </c>
      <c r="B218" s="13">
        <v>15.67</v>
      </c>
      <c r="C218" s="13">
        <v>15.88</v>
      </c>
      <c r="D218" s="13">
        <v>15.6</v>
      </c>
      <c r="E218" s="13">
        <v>15.8</v>
      </c>
      <c r="F218" s="13">
        <v>1086735</v>
      </c>
      <c r="G218" s="21">
        <f t="shared" si="6"/>
        <v>758.40000000000009</v>
      </c>
      <c r="H218" s="13">
        <f t="shared" si="7"/>
        <v>776.80000000000018</v>
      </c>
    </row>
    <row r="219" spans="1:8" x14ac:dyDescent="0.2">
      <c r="A219" s="16" t="s">
        <v>231</v>
      </c>
      <c r="B219" s="13">
        <v>15.9</v>
      </c>
      <c r="C219" s="13">
        <v>16.14</v>
      </c>
      <c r="D219" s="13">
        <v>15.73</v>
      </c>
      <c r="E219" s="13">
        <v>16.12</v>
      </c>
      <c r="F219" s="13">
        <v>1239107</v>
      </c>
      <c r="G219" s="21">
        <f t="shared" si="6"/>
        <v>773.76</v>
      </c>
      <c r="H219" s="13">
        <f t="shared" si="7"/>
        <v>792.16000000000008</v>
      </c>
    </row>
    <row r="220" spans="1:8" x14ac:dyDescent="0.2">
      <c r="A220" s="16" t="s">
        <v>232</v>
      </c>
      <c r="B220" s="13">
        <v>16.2</v>
      </c>
      <c r="C220" s="13">
        <v>16.37</v>
      </c>
      <c r="D220" s="13">
        <v>16.02</v>
      </c>
      <c r="E220" s="13">
        <v>16.25</v>
      </c>
      <c r="F220" s="13">
        <v>993640</v>
      </c>
      <c r="G220" s="21">
        <f t="shared" si="6"/>
        <v>780</v>
      </c>
      <c r="H220" s="13">
        <f t="shared" si="7"/>
        <v>798.40000000000009</v>
      </c>
    </row>
    <row r="221" spans="1:8" x14ac:dyDescent="0.2">
      <c r="A221" s="16" t="s">
        <v>233</v>
      </c>
      <c r="B221" s="13">
        <v>16.28</v>
      </c>
      <c r="C221" s="13">
        <v>16.52</v>
      </c>
      <c r="D221" s="13">
        <v>16.25</v>
      </c>
      <c r="E221" s="13">
        <v>16.3</v>
      </c>
      <c r="F221" s="13">
        <v>1232821</v>
      </c>
      <c r="G221" s="21">
        <f t="shared" si="6"/>
        <v>782.40000000000009</v>
      </c>
      <c r="H221" s="13">
        <f t="shared" si="7"/>
        <v>800.80000000000018</v>
      </c>
    </row>
    <row r="222" spans="1:8" x14ac:dyDescent="0.2">
      <c r="A222" s="16" t="s">
        <v>234</v>
      </c>
      <c r="B222" s="13">
        <v>16.38</v>
      </c>
      <c r="C222" s="13">
        <v>16.52</v>
      </c>
      <c r="D222" s="13">
        <v>16.12</v>
      </c>
      <c r="E222" s="13">
        <v>16.43</v>
      </c>
      <c r="F222" s="13">
        <v>1169596</v>
      </c>
      <c r="G222" s="21">
        <f t="shared" si="6"/>
        <v>788.64</v>
      </c>
      <c r="H222" s="13">
        <f t="shared" si="7"/>
        <v>807.04000000000008</v>
      </c>
    </row>
    <row r="223" spans="1:8" x14ac:dyDescent="0.2">
      <c r="A223" s="16" t="s">
        <v>235</v>
      </c>
      <c r="B223" s="13">
        <v>16.3</v>
      </c>
      <c r="C223" s="13">
        <v>16.64</v>
      </c>
      <c r="D223" s="13">
        <v>16.239999999999998</v>
      </c>
      <c r="E223" s="13">
        <v>16.63</v>
      </c>
      <c r="F223" s="13">
        <v>867695</v>
      </c>
      <c r="G223" s="21">
        <f t="shared" si="6"/>
        <v>798.24</v>
      </c>
      <c r="H223" s="13">
        <f t="shared" si="7"/>
        <v>816.6400000000001</v>
      </c>
    </row>
    <row r="224" spans="1:8" x14ac:dyDescent="0.2">
      <c r="A224" s="16" t="s">
        <v>236</v>
      </c>
      <c r="B224" s="13">
        <v>16.47</v>
      </c>
      <c r="C224" s="13">
        <v>17.52</v>
      </c>
      <c r="D224" s="13">
        <v>16.47</v>
      </c>
      <c r="E224" s="13">
        <v>17.39</v>
      </c>
      <c r="F224" s="13">
        <v>2716647</v>
      </c>
      <c r="G224" s="21">
        <f t="shared" si="6"/>
        <v>834.72</v>
      </c>
      <c r="H224" s="13">
        <f t="shared" si="7"/>
        <v>853.12000000000012</v>
      </c>
    </row>
    <row r="225" spans="1:8" x14ac:dyDescent="0.2">
      <c r="A225" s="16" t="s">
        <v>237</v>
      </c>
      <c r="B225" s="13">
        <v>17.3</v>
      </c>
      <c r="C225" s="13">
        <v>17.7</v>
      </c>
      <c r="D225" s="13">
        <v>17.25</v>
      </c>
      <c r="E225" s="13">
        <v>17.329999999999998</v>
      </c>
      <c r="F225" s="13">
        <v>1924305</v>
      </c>
      <c r="G225" s="21">
        <f t="shared" si="6"/>
        <v>831.83999999999992</v>
      </c>
      <c r="H225" s="13">
        <f t="shared" si="7"/>
        <v>850.24</v>
      </c>
    </row>
    <row r="226" spans="1:8" x14ac:dyDescent="0.2">
      <c r="A226" s="16" t="s">
        <v>238</v>
      </c>
      <c r="B226" s="13">
        <v>17.32</v>
      </c>
      <c r="C226" s="13">
        <v>17.38</v>
      </c>
      <c r="D226" s="13">
        <v>17.100000000000001</v>
      </c>
      <c r="E226" s="13">
        <v>17.16</v>
      </c>
      <c r="F226" s="13">
        <v>1039124</v>
      </c>
      <c r="G226" s="21">
        <f t="shared" si="6"/>
        <v>823.68000000000006</v>
      </c>
      <c r="H226" s="13">
        <f t="shared" si="7"/>
        <v>842.08000000000015</v>
      </c>
    </row>
    <row r="227" spans="1:8" x14ac:dyDescent="0.2">
      <c r="A227" s="16" t="s">
        <v>239</v>
      </c>
      <c r="B227" s="13">
        <v>17.079999999999998</v>
      </c>
      <c r="C227" s="13">
        <v>17.54</v>
      </c>
      <c r="D227" s="13">
        <v>17.05</v>
      </c>
      <c r="E227" s="13">
        <v>17.48</v>
      </c>
      <c r="F227" s="13">
        <v>1148770</v>
      </c>
      <c r="G227" s="21">
        <f t="shared" si="6"/>
        <v>839.04</v>
      </c>
      <c r="H227" s="13">
        <f t="shared" si="7"/>
        <v>857.44</v>
      </c>
    </row>
    <row r="228" spans="1:8" x14ac:dyDescent="0.2">
      <c r="A228" s="16" t="s">
        <v>240</v>
      </c>
      <c r="B228" s="13">
        <v>17.329999999999998</v>
      </c>
      <c r="C228" s="13">
        <v>17.45</v>
      </c>
      <c r="D228" s="13">
        <v>17.21</v>
      </c>
      <c r="E228" s="13">
        <v>17.21</v>
      </c>
      <c r="F228" s="13">
        <v>928556</v>
      </c>
      <c r="G228" s="21">
        <f t="shared" si="6"/>
        <v>826.08</v>
      </c>
      <c r="H228" s="13">
        <f t="shared" si="7"/>
        <v>844.48000000000013</v>
      </c>
    </row>
    <row r="229" spans="1:8" x14ac:dyDescent="0.2">
      <c r="A229" s="16" t="s">
        <v>241</v>
      </c>
      <c r="B229" s="13">
        <v>17.2</v>
      </c>
      <c r="C229" s="13">
        <v>17.3</v>
      </c>
      <c r="D229" s="13">
        <v>16.760000000000002</v>
      </c>
      <c r="E229" s="13">
        <v>16.98</v>
      </c>
      <c r="F229" s="13">
        <v>1998878</v>
      </c>
      <c r="G229" s="21">
        <f t="shared" si="6"/>
        <v>815.04</v>
      </c>
      <c r="H229" s="13">
        <f t="shared" si="7"/>
        <v>833.44</v>
      </c>
    </row>
    <row r="230" spans="1:8" x14ac:dyDescent="0.2">
      <c r="A230" s="16" t="s">
        <v>242</v>
      </c>
      <c r="B230" s="13">
        <v>17.010000000000002</v>
      </c>
      <c r="C230" s="13">
        <v>17.18</v>
      </c>
      <c r="D230" s="13">
        <v>16.98</v>
      </c>
      <c r="E230" s="13">
        <v>17</v>
      </c>
      <c r="F230" s="13">
        <v>1024842</v>
      </c>
      <c r="G230" s="21">
        <f t="shared" si="6"/>
        <v>816</v>
      </c>
      <c r="H230" s="13">
        <f t="shared" si="7"/>
        <v>834.40000000000009</v>
      </c>
    </row>
    <row r="231" spans="1:8" x14ac:dyDescent="0.2">
      <c r="A231" s="16" t="s">
        <v>243</v>
      </c>
      <c r="B231" s="13">
        <v>17.170000000000002</v>
      </c>
      <c r="C231" s="13">
        <v>17.22</v>
      </c>
      <c r="D231" s="13">
        <v>16.93</v>
      </c>
      <c r="E231" s="13">
        <v>16.93</v>
      </c>
      <c r="F231" s="13">
        <v>1043704</v>
      </c>
      <c r="G231" s="21">
        <f t="shared" si="6"/>
        <v>812.64</v>
      </c>
      <c r="H231" s="13">
        <f t="shared" si="7"/>
        <v>831.04000000000008</v>
      </c>
    </row>
    <row r="232" spans="1:8" x14ac:dyDescent="0.2">
      <c r="A232" s="16" t="s">
        <v>244</v>
      </c>
      <c r="B232" s="13">
        <v>17.04</v>
      </c>
      <c r="C232" s="13">
        <v>17.05</v>
      </c>
      <c r="D232" s="13">
        <v>16.670000000000002</v>
      </c>
      <c r="E232" s="13">
        <v>16.7</v>
      </c>
      <c r="F232" s="13">
        <v>792535</v>
      </c>
      <c r="G232" s="21">
        <f t="shared" si="6"/>
        <v>801.59999999999991</v>
      </c>
      <c r="H232" s="13">
        <f t="shared" si="7"/>
        <v>820</v>
      </c>
    </row>
    <row r="233" spans="1:8" x14ac:dyDescent="0.2">
      <c r="A233" s="16" t="s">
        <v>245</v>
      </c>
      <c r="B233" s="13">
        <v>17.03</v>
      </c>
      <c r="C233" s="13">
        <v>17.45</v>
      </c>
      <c r="D233" s="13">
        <v>16.940000000000001</v>
      </c>
      <c r="E233" s="13">
        <v>17.13</v>
      </c>
      <c r="F233" s="13">
        <v>2155073</v>
      </c>
      <c r="G233" s="21">
        <f t="shared" si="6"/>
        <v>822.24</v>
      </c>
      <c r="H233" s="13">
        <f t="shared" si="7"/>
        <v>840.6400000000001</v>
      </c>
    </row>
    <row r="234" spans="1:8" x14ac:dyDescent="0.2">
      <c r="A234" s="16" t="s">
        <v>246</v>
      </c>
      <c r="B234" s="13">
        <v>17.13</v>
      </c>
      <c r="C234" s="13">
        <v>17.59</v>
      </c>
      <c r="D234" s="13">
        <v>17.12</v>
      </c>
      <c r="E234" s="13">
        <v>17.39</v>
      </c>
      <c r="F234" s="13">
        <v>1298291</v>
      </c>
      <c r="G234" s="21">
        <f t="shared" si="6"/>
        <v>834.72</v>
      </c>
      <c r="H234" s="13">
        <f t="shared" si="7"/>
        <v>853.12000000000012</v>
      </c>
    </row>
    <row r="235" spans="1:8" x14ac:dyDescent="0.2">
      <c r="A235" s="16" t="s">
        <v>247</v>
      </c>
      <c r="B235" s="13">
        <v>17.48</v>
      </c>
      <c r="C235" s="13">
        <v>17.62</v>
      </c>
      <c r="D235" s="13">
        <v>17.309999999999999</v>
      </c>
      <c r="E235" s="13">
        <v>17.510000000000002</v>
      </c>
      <c r="F235" s="13">
        <v>718710</v>
      </c>
      <c r="G235" s="21">
        <f t="shared" si="6"/>
        <v>840.48</v>
      </c>
      <c r="H235" s="13">
        <f t="shared" si="7"/>
        <v>858.88000000000011</v>
      </c>
    </row>
    <row r="236" spans="1:8" x14ac:dyDescent="0.2">
      <c r="A236" s="16" t="s">
        <v>248</v>
      </c>
      <c r="B236" s="13">
        <v>17.53</v>
      </c>
      <c r="C236" s="13">
        <v>17.600000000000001</v>
      </c>
      <c r="D236" s="13">
        <v>17.27</v>
      </c>
      <c r="E236" s="13">
        <v>17.329999999999998</v>
      </c>
      <c r="F236" s="13">
        <v>717340</v>
      </c>
      <c r="G236" s="21">
        <f t="shared" si="6"/>
        <v>831.83999999999992</v>
      </c>
      <c r="H236" s="13">
        <f t="shared" si="7"/>
        <v>850.24</v>
      </c>
    </row>
    <row r="237" spans="1:8" x14ac:dyDescent="0.2">
      <c r="A237" s="16" t="s">
        <v>249</v>
      </c>
      <c r="B237" s="13">
        <v>17.43</v>
      </c>
      <c r="C237" s="13">
        <v>17.5</v>
      </c>
      <c r="D237" s="13">
        <v>17.059999999999999</v>
      </c>
      <c r="E237" s="13">
        <v>17.059999999999999</v>
      </c>
      <c r="F237" s="13">
        <v>1377832</v>
      </c>
      <c r="G237" s="21">
        <f t="shared" si="6"/>
        <v>818.87999999999988</v>
      </c>
      <c r="H237" s="13">
        <f t="shared" si="7"/>
        <v>837.28</v>
      </c>
    </row>
    <row r="238" spans="1:8" x14ac:dyDescent="0.2">
      <c r="A238" s="16" t="s">
        <v>250</v>
      </c>
      <c r="B238" s="13">
        <v>17.059999999999999</v>
      </c>
      <c r="C238" s="13">
        <v>17.16</v>
      </c>
      <c r="D238" s="13">
        <v>16.98</v>
      </c>
      <c r="E238" s="13">
        <v>17</v>
      </c>
      <c r="F238" s="13">
        <v>717204</v>
      </c>
      <c r="G238" s="21">
        <f t="shared" si="6"/>
        <v>816</v>
      </c>
      <c r="H238" s="13">
        <f t="shared" si="7"/>
        <v>834.40000000000009</v>
      </c>
    </row>
    <row r="239" spans="1:8" x14ac:dyDescent="0.2">
      <c r="A239" s="16" t="s">
        <v>251</v>
      </c>
      <c r="B239" s="13">
        <v>17.05</v>
      </c>
      <c r="C239" s="13">
        <v>17.11</v>
      </c>
      <c r="D239" s="13">
        <v>16.850000000000001</v>
      </c>
      <c r="E239" s="13">
        <v>16.87</v>
      </c>
      <c r="F239" s="13">
        <v>921810</v>
      </c>
      <c r="G239" s="21">
        <f t="shared" si="6"/>
        <v>809.76</v>
      </c>
      <c r="H239" s="13">
        <f t="shared" si="7"/>
        <v>828.16000000000008</v>
      </c>
    </row>
    <row r="240" spans="1:8" x14ac:dyDescent="0.2">
      <c r="A240" s="16" t="s">
        <v>252</v>
      </c>
      <c r="B240" s="13">
        <v>16.72</v>
      </c>
      <c r="C240" s="13">
        <v>16.96</v>
      </c>
      <c r="D240" s="13">
        <v>16.579999999999998</v>
      </c>
      <c r="E240" s="13">
        <v>16.920000000000002</v>
      </c>
      <c r="F240" s="13">
        <v>914255</v>
      </c>
      <c r="G240" s="21">
        <f t="shared" si="6"/>
        <v>812.16000000000008</v>
      </c>
      <c r="H240" s="13">
        <f t="shared" si="7"/>
        <v>830.56000000000017</v>
      </c>
    </row>
    <row r="241" spans="1:8" x14ac:dyDescent="0.2">
      <c r="A241" s="16" t="s">
        <v>253</v>
      </c>
      <c r="B241" s="13">
        <v>16.7</v>
      </c>
      <c r="C241" s="13">
        <v>16.82</v>
      </c>
      <c r="D241" s="13">
        <v>16.57</v>
      </c>
      <c r="E241" s="13">
        <v>16.690000000000001</v>
      </c>
      <c r="F241" s="13">
        <v>953448</v>
      </c>
      <c r="G241" s="21">
        <f t="shared" si="6"/>
        <v>801.12000000000012</v>
      </c>
      <c r="H241" s="13">
        <f t="shared" si="7"/>
        <v>819.52000000000021</v>
      </c>
    </row>
    <row r="242" spans="1:8" x14ac:dyDescent="0.2">
      <c r="A242" s="16" t="s">
        <v>254</v>
      </c>
      <c r="B242" s="13">
        <v>16.670000000000002</v>
      </c>
      <c r="C242" s="13">
        <v>16.670000000000002</v>
      </c>
      <c r="D242" s="13">
        <v>16.399999999999999</v>
      </c>
      <c r="E242" s="13">
        <v>16.399999999999999</v>
      </c>
      <c r="F242" s="13">
        <v>1264180</v>
      </c>
      <c r="G242" s="21">
        <f t="shared" si="6"/>
        <v>787.19999999999993</v>
      </c>
      <c r="H242" s="13">
        <f t="shared" si="7"/>
        <v>805.6</v>
      </c>
    </row>
    <row r="243" spans="1:8" x14ac:dyDescent="0.2">
      <c r="A243" s="16" t="s">
        <v>255</v>
      </c>
      <c r="B243" s="13">
        <v>16.45</v>
      </c>
      <c r="C243" s="13">
        <v>16.53</v>
      </c>
      <c r="D243" s="13">
        <v>16.23</v>
      </c>
      <c r="E243" s="13">
        <v>16.23</v>
      </c>
      <c r="F243" s="13">
        <v>1314626</v>
      </c>
      <c r="G243" s="21">
        <f t="shared" si="6"/>
        <v>779.04</v>
      </c>
      <c r="H243" s="13">
        <f t="shared" si="7"/>
        <v>797.44</v>
      </c>
    </row>
    <row r="244" spans="1:8" x14ac:dyDescent="0.2">
      <c r="A244" s="16" t="s">
        <v>256</v>
      </c>
      <c r="B244" s="13">
        <v>16.23</v>
      </c>
      <c r="C244" s="13">
        <v>16.45</v>
      </c>
      <c r="D244" s="13">
        <v>16.149999999999999</v>
      </c>
      <c r="E244" s="13">
        <v>16.149999999999999</v>
      </c>
      <c r="F244" s="13">
        <v>1116921</v>
      </c>
      <c r="G244" s="21">
        <f t="shared" si="6"/>
        <v>775.19999999999993</v>
      </c>
      <c r="H244" s="13">
        <f t="shared" si="7"/>
        <v>793.6</v>
      </c>
    </row>
    <row r="245" spans="1:8" x14ac:dyDescent="0.2">
      <c r="A245" s="16" t="s">
        <v>257</v>
      </c>
      <c r="B245" s="13">
        <v>16.100000000000001</v>
      </c>
      <c r="C245" s="13">
        <v>16.41</v>
      </c>
      <c r="D245" s="13">
        <v>16.010000000000002</v>
      </c>
      <c r="E245" s="13">
        <v>16.36</v>
      </c>
      <c r="F245" s="13">
        <v>1197932</v>
      </c>
      <c r="G245" s="21">
        <f t="shared" si="6"/>
        <v>785.28</v>
      </c>
      <c r="H245" s="13">
        <f t="shared" si="7"/>
        <v>803.68000000000006</v>
      </c>
    </row>
    <row r="246" spans="1:8" x14ac:dyDescent="0.2">
      <c r="A246" s="16" t="s">
        <v>258</v>
      </c>
      <c r="B246" s="13">
        <v>16.45</v>
      </c>
      <c r="C246" s="13">
        <v>16.63</v>
      </c>
      <c r="D246" s="13">
        <v>16.38</v>
      </c>
      <c r="E246" s="13">
        <v>16.47</v>
      </c>
      <c r="F246" s="13">
        <v>958672</v>
      </c>
      <c r="G246" s="21">
        <f t="shared" si="6"/>
        <v>790.56</v>
      </c>
      <c r="H246" s="13">
        <f t="shared" si="7"/>
        <v>808.96</v>
      </c>
    </row>
    <row r="247" spans="1:8" x14ac:dyDescent="0.2">
      <c r="A247" s="16" t="s">
        <v>259</v>
      </c>
      <c r="B247" s="13">
        <v>16.3</v>
      </c>
      <c r="C247" s="13">
        <v>16.760000000000002</v>
      </c>
      <c r="D247" s="13">
        <v>16.3</v>
      </c>
      <c r="E247" s="13">
        <v>16.649999999999999</v>
      </c>
      <c r="F247" s="13">
        <v>853384</v>
      </c>
      <c r="G247" s="21">
        <f t="shared" si="6"/>
        <v>799.19999999999993</v>
      </c>
      <c r="H247" s="13">
        <f t="shared" si="7"/>
        <v>817.6</v>
      </c>
    </row>
    <row r="248" spans="1:8" x14ac:dyDescent="0.2">
      <c r="A248" s="16" t="s">
        <v>260</v>
      </c>
      <c r="B248" s="13">
        <v>16.55</v>
      </c>
      <c r="C248" s="13">
        <v>16.829999999999998</v>
      </c>
      <c r="D248" s="13">
        <v>16.350000000000001</v>
      </c>
      <c r="E248" s="13">
        <v>16.52</v>
      </c>
      <c r="F248" s="13">
        <v>830608</v>
      </c>
      <c r="G248" s="21">
        <f t="shared" si="6"/>
        <v>792.96</v>
      </c>
      <c r="H248" s="13">
        <f t="shared" si="7"/>
        <v>811.36000000000013</v>
      </c>
    </row>
    <row r="249" spans="1:8" x14ac:dyDescent="0.2">
      <c r="A249" s="16" t="s">
        <v>261</v>
      </c>
      <c r="B249" s="13">
        <v>16.5</v>
      </c>
      <c r="C249" s="13">
        <v>16.605</v>
      </c>
      <c r="D249" s="13">
        <v>16.215</v>
      </c>
      <c r="E249" s="13">
        <v>16.3</v>
      </c>
      <c r="F249" s="13">
        <v>1045702</v>
      </c>
      <c r="G249" s="21">
        <f t="shared" si="6"/>
        <v>782.40000000000009</v>
      </c>
      <c r="H249" s="13">
        <f t="shared" si="7"/>
        <v>800.80000000000018</v>
      </c>
    </row>
    <row r="250" spans="1:8" x14ac:dyDescent="0.2">
      <c r="A250" s="16" t="s">
        <v>262</v>
      </c>
      <c r="B250" s="13">
        <v>16.420000000000002</v>
      </c>
      <c r="C250" s="13">
        <v>16.420000000000002</v>
      </c>
      <c r="D250" s="13">
        <v>16.11</v>
      </c>
      <c r="E250" s="13">
        <v>16.239999999999998</v>
      </c>
      <c r="F250" s="13">
        <v>1278342</v>
      </c>
      <c r="G250" s="21">
        <f t="shared" si="6"/>
        <v>779.52</v>
      </c>
      <c r="H250" s="13">
        <f t="shared" si="7"/>
        <v>797.92000000000007</v>
      </c>
    </row>
    <row r="251" spans="1:8" x14ac:dyDescent="0.2">
      <c r="A251" s="16" t="s">
        <v>263</v>
      </c>
      <c r="B251" s="13">
        <v>16.239999999999998</v>
      </c>
      <c r="C251" s="13">
        <v>16.489999999999998</v>
      </c>
      <c r="D251" s="13">
        <v>16.239999999999998</v>
      </c>
      <c r="E251" s="13">
        <v>16.489999999999998</v>
      </c>
      <c r="F251" s="13">
        <v>415627</v>
      </c>
      <c r="G251" s="21">
        <f t="shared" si="6"/>
        <v>791.52</v>
      </c>
      <c r="H251" s="13">
        <f t="shared" si="7"/>
        <v>809.92000000000007</v>
      </c>
    </row>
    <row r="252" spans="1:8" x14ac:dyDescent="0.2">
      <c r="A252" s="16" t="s">
        <v>264</v>
      </c>
      <c r="B252" s="13">
        <v>16.440000000000001</v>
      </c>
      <c r="C252" s="13">
        <v>16.54</v>
      </c>
      <c r="D252" s="13">
        <v>16.41</v>
      </c>
      <c r="E252" s="13">
        <v>16.45</v>
      </c>
      <c r="F252" s="13">
        <v>205832</v>
      </c>
      <c r="G252" s="21">
        <f t="shared" si="6"/>
        <v>789.59999999999991</v>
      </c>
      <c r="H252" s="13">
        <f t="shared" si="7"/>
        <v>808</v>
      </c>
    </row>
    <row r="253" spans="1:8" x14ac:dyDescent="0.2">
      <c r="A253" s="16" t="s">
        <v>265</v>
      </c>
      <c r="B253" s="13">
        <v>16.48</v>
      </c>
      <c r="C253" s="13">
        <v>16.760000000000002</v>
      </c>
      <c r="D253" s="13">
        <v>16.440000000000001</v>
      </c>
      <c r="E253" s="13">
        <v>16.72</v>
      </c>
      <c r="F253" s="13">
        <v>425299</v>
      </c>
      <c r="G253" s="21">
        <f t="shared" si="6"/>
        <v>802.56</v>
      </c>
      <c r="H253" s="13">
        <f t="shared" si="7"/>
        <v>820.96</v>
      </c>
    </row>
    <row r="254" spans="1:8" x14ac:dyDescent="0.2">
      <c r="A254" s="16" t="s">
        <v>266</v>
      </c>
      <c r="B254" s="13">
        <v>16.7</v>
      </c>
      <c r="C254" s="13">
        <v>16.71</v>
      </c>
      <c r="D254" s="13">
        <v>16.515000000000001</v>
      </c>
      <c r="E254" s="13">
        <v>16.71</v>
      </c>
      <c r="F254" s="13">
        <v>192556</v>
      </c>
      <c r="G254" s="21">
        <f t="shared" si="6"/>
        <v>802.08</v>
      </c>
      <c r="H254" s="13">
        <f t="shared" si="7"/>
        <v>820.48000000000013</v>
      </c>
    </row>
    <row r="255" spans="1:8" x14ac:dyDescent="0.2">
      <c r="A255" s="16" t="s">
        <v>267</v>
      </c>
      <c r="B255" s="13">
        <v>16.600000000000001</v>
      </c>
      <c r="C255" s="13">
        <v>16.77</v>
      </c>
      <c r="D255" s="13">
        <v>16.559999999999999</v>
      </c>
      <c r="E255" s="13">
        <v>16.68</v>
      </c>
      <c r="F255" s="13">
        <v>255236</v>
      </c>
      <c r="G255" s="20">
        <f t="shared" si="6"/>
        <v>800.64</v>
      </c>
      <c r="H255" s="13">
        <f t="shared" si="7"/>
        <v>819.04000000000008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0064-5CE8-7047-A77D-9EA9BFAB2525}">
  <dimension ref="A1:L255"/>
  <sheetViews>
    <sheetView topLeftCell="A14" workbookViewId="0">
      <selection activeCell="S53" sqref="S53"/>
    </sheetView>
  </sheetViews>
  <sheetFormatPr baseColWidth="10" defaultColWidth="11.5" defaultRowHeight="18" x14ac:dyDescent="0.2"/>
  <cols>
    <col min="1" max="1" width="13.1640625" style="16" bestFit="1" customWidth="1"/>
    <col min="2" max="2" width="7.1640625" style="17" bestFit="1" customWidth="1"/>
    <col min="3" max="3" width="16.6640625" style="17" customWidth="1"/>
    <col min="4" max="4" width="13.1640625" style="17" bestFit="1" customWidth="1"/>
    <col min="5" max="5" width="8.5" style="17" bestFit="1" customWidth="1"/>
    <col min="6" max="6" width="11.83203125" style="17" bestFit="1" customWidth="1"/>
    <col min="7" max="7" width="10.5" style="12" bestFit="1" customWidth="1"/>
    <col min="8" max="8" width="9.1640625" style="12" bestFit="1" customWidth="1"/>
    <col min="9" max="9" width="6.5" style="12" bestFit="1" customWidth="1"/>
    <col min="10" max="10" width="14" style="12" bestFit="1" customWidth="1"/>
    <col min="11" max="11" width="11.83203125" style="12" bestFit="1" customWidth="1"/>
    <col min="12" max="12" width="10" style="12" bestFit="1" customWidth="1"/>
  </cols>
  <sheetData>
    <row r="1" spans="1:12" ht="19" x14ac:dyDescent="0.25">
      <c r="A1" s="15" t="s">
        <v>2</v>
      </c>
      <c r="B1" s="10" t="s">
        <v>6</v>
      </c>
      <c r="C1" s="19"/>
      <c r="D1" s="10" t="s">
        <v>2</v>
      </c>
      <c r="E1" s="10" t="s">
        <v>282</v>
      </c>
      <c r="F1" s="10" t="s">
        <v>283</v>
      </c>
      <c r="G1" s="10" t="s">
        <v>281</v>
      </c>
      <c r="H1" s="10" t="s">
        <v>284</v>
      </c>
      <c r="I1" s="10" t="s">
        <v>285</v>
      </c>
      <c r="J1" s="10" t="s">
        <v>286</v>
      </c>
      <c r="K1" s="10" t="s">
        <v>276</v>
      </c>
      <c r="L1" s="10" t="s">
        <v>279</v>
      </c>
    </row>
    <row r="2" spans="1:12" x14ac:dyDescent="0.2">
      <c r="A2" s="16" t="s">
        <v>14</v>
      </c>
      <c r="B2" s="13">
        <v>20.45</v>
      </c>
      <c r="C2" s="13"/>
      <c r="D2" s="13" t="str">
        <f>A108</f>
        <v>04/06/2024</v>
      </c>
      <c r="E2" s="24">
        <f>MIN(B2:B142)</f>
        <v>18.8</v>
      </c>
      <c r="F2" s="25">
        <f>H2*E2</f>
        <v>996.40000000000009</v>
      </c>
      <c r="G2" s="14">
        <v>1</v>
      </c>
      <c r="H2" s="26">
        <f>53</f>
        <v>53</v>
      </c>
      <c r="I2" s="12" t="s">
        <v>287</v>
      </c>
      <c r="J2" s="27">
        <f>1000-F2</f>
        <v>3.5999999999999091</v>
      </c>
      <c r="K2" s="27">
        <v>1000</v>
      </c>
      <c r="L2" s="21">
        <f>0.4</f>
        <v>0.4</v>
      </c>
    </row>
    <row r="3" spans="1:12" x14ac:dyDescent="0.2">
      <c r="A3" s="16" t="s">
        <v>15</v>
      </c>
      <c r="B3" s="13">
        <v>20.32</v>
      </c>
      <c r="C3" s="13"/>
      <c r="D3" s="13" t="str">
        <f>A142</f>
        <v>23/07/2024</v>
      </c>
      <c r="E3" s="24">
        <f>MAX(B:B)</f>
        <v>23.01</v>
      </c>
      <c r="F3" s="25">
        <f>H3*E3</f>
        <v>1219.53</v>
      </c>
      <c r="G3" s="14">
        <f>100%+(F3-F2)/F2</f>
        <v>1.2239361702127658</v>
      </c>
      <c r="H3" s="26">
        <f>H2</f>
        <v>53</v>
      </c>
      <c r="I3" s="12" t="s">
        <v>288</v>
      </c>
      <c r="J3" s="28">
        <f>F3+J2+(L2*53)</f>
        <v>1244.33</v>
      </c>
      <c r="K3" s="28">
        <f>J3</f>
        <v>1244.33</v>
      </c>
      <c r="L3" s="27"/>
    </row>
    <row r="4" spans="1:12" x14ac:dyDescent="0.2">
      <c r="A4" s="16" t="s">
        <v>16</v>
      </c>
      <c r="B4" s="13">
        <v>20.02</v>
      </c>
      <c r="C4" s="13"/>
      <c r="D4" s="13"/>
      <c r="E4" s="13"/>
      <c r="F4" s="13"/>
    </row>
    <row r="5" spans="1:12" x14ac:dyDescent="0.2">
      <c r="A5" s="16" t="s">
        <v>17</v>
      </c>
      <c r="B5" s="13">
        <v>19.98</v>
      </c>
      <c r="C5" s="13"/>
      <c r="D5" s="13"/>
      <c r="E5" s="13"/>
      <c r="F5" s="13"/>
    </row>
    <row r="6" spans="1:12" x14ac:dyDescent="0.2">
      <c r="A6" s="16" t="s">
        <v>18</v>
      </c>
      <c r="B6" s="13">
        <v>19.86</v>
      </c>
      <c r="C6" s="13"/>
      <c r="D6" s="13"/>
      <c r="E6" s="13"/>
      <c r="F6" s="13"/>
    </row>
    <row r="7" spans="1:12" x14ac:dyDescent="0.2">
      <c r="A7" s="16" t="s">
        <v>19</v>
      </c>
      <c r="B7" s="13">
        <v>20.39</v>
      </c>
      <c r="C7" s="13"/>
      <c r="D7" s="13"/>
      <c r="E7" s="13"/>
      <c r="F7" s="13"/>
    </row>
    <row r="8" spans="1:12" x14ac:dyDescent="0.2">
      <c r="A8" s="16" t="s">
        <v>20</v>
      </c>
      <c r="B8" s="13">
        <v>20.56</v>
      </c>
      <c r="C8" s="13"/>
      <c r="D8" s="13"/>
      <c r="E8" s="13"/>
      <c r="F8" s="13"/>
    </row>
    <row r="9" spans="1:12" x14ac:dyDescent="0.2">
      <c r="A9" s="16" t="s">
        <v>21</v>
      </c>
      <c r="B9" s="13">
        <v>20.7</v>
      </c>
      <c r="C9" s="13"/>
      <c r="D9" s="13"/>
      <c r="E9" s="13"/>
      <c r="F9" s="13"/>
    </row>
    <row r="10" spans="1:12" x14ac:dyDescent="0.2">
      <c r="A10" s="16" t="s">
        <v>22</v>
      </c>
      <c r="B10" s="13">
        <v>20.43</v>
      </c>
      <c r="C10" s="13"/>
      <c r="D10" s="13"/>
      <c r="E10" s="13"/>
      <c r="F10" s="13"/>
    </row>
    <row r="11" spans="1:12" x14ac:dyDescent="0.2">
      <c r="A11" s="16" t="s">
        <v>23</v>
      </c>
      <c r="B11" s="13">
        <v>20.55</v>
      </c>
      <c r="C11" s="13"/>
      <c r="D11" s="13"/>
      <c r="E11" s="13"/>
      <c r="F11" s="13"/>
    </row>
    <row r="12" spans="1:12" x14ac:dyDescent="0.2">
      <c r="A12" s="16" t="s">
        <v>24</v>
      </c>
      <c r="B12" s="13">
        <v>20.55</v>
      </c>
      <c r="C12" s="13"/>
      <c r="D12" s="13"/>
      <c r="E12" s="13"/>
      <c r="F12" s="13"/>
    </row>
    <row r="13" spans="1:12" x14ac:dyDescent="0.2">
      <c r="A13" s="16" t="s">
        <v>25</v>
      </c>
      <c r="B13" s="13">
        <v>20.5</v>
      </c>
      <c r="C13" s="13"/>
      <c r="D13" s="13"/>
      <c r="E13" s="13"/>
      <c r="F13" s="13"/>
    </row>
    <row r="14" spans="1:12" x14ac:dyDescent="0.2">
      <c r="A14" s="16" t="s">
        <v>26</v>
      </c>
      <c r="B14" s="13">
        <v>20.63</v>
      </c>
      <c r="C14" s="13"/>
      <c r="D14" s="13"/>
      <c r="E14" s="13"/>
      <c r="F14" s="13"/>
    </row>
    <row r="15" spans="1:12" x14ac:dyDescent="0.2">
      <c r="A15" s="16" t="s">
        <v>27</v>
      </c>
      <c r="B15" s="13">
        <v>21.03</v>
      </c>
      <c r="C15" s="13"/>
      <c r="D15" s="13"/>
      <c r="E15" s="13"/>
      <c r="F15" s="13"/>
    </row>
    <row r="16" spans="1:12" x14ac:dyDescent="0.2">
      <c r="A16" s="16" t="s">
        <v>28</v>
      </c>
      <c r="B16" s="13">
        <v>21.15</v>
      </c>
      <c r="C16" s="13"/>
      <c r="D16" s="13"/>
      <c r="E16" s="13"/>
      <c r="F16" s="13"/>
    </row>
    <row r="17" spans="1:6" x14ac:dyDescent="0.2">
      <c r="A17" s="16" t="s">
        <v>29</v>
      </c>
      <c r="B17" s="13">
        <v>21.08</v>
      </c>
      <c r="C17" s="13"/>
      <c r="D17" s="13"/>
      <c r="E17" s="13"/>
      <c r="F17" s="13"/>
    </row>
    <row r="18" spans="1:6" x14ac:dyDescent="0.2">
      <c r="A18" s="16" t="s">
        <v>30</v>
      </c>
      <c r="B18" s="13">
        <v>21.04</v>
      </c>
      <c r="C18" s="13"/>
      <c r="D18" s="13"/>
      <c r="E18" s="13"/>
      <c r="F18" s="13"/>
    </row>
    <row r="19" spans="1:6" x14ac:dyDescent="0.2">
      <c r="A19" s="16" t="s">
        <v>31</v>
      </c>
      <c r="B19" s="13">
        <v>21.01</v>
      </c>
      <c r="C19" s="13"/>
      <c r="D19" s="13"/>
      <c r="E19" s="13"/>
      <c r="F19" s="13"/>
    </row>
    <row r="20" spans="1:6" x14ac:dyDescent="0.2">
      <c r="A20" s="16" t="s">
        <v>32</v>
      </c>
      <c r="B20" s="13">
        <v>21.18</v>
      </c>
      <c r="C20" s="13"/>
      <c r="D20" s="13"/>
      <c r="E20" s="13"/>
      <c r="F20" s="13"/>
    </row>
    <row r="21" spans="1:6" x14ac:dyDescent="0.2">
      <c r="A21" s="16" t="s">
        <v>33</v>
      </c>
      <c r="B21" s="13">
        <v>21.04</v>
      </c>
      <c r="C21" s="13"/>
      <c r="D21" s="13"/>
      <c r="E21" s="13"/>
      <c r="F21" s="13"/>
    </row>
    <row r="22" spans="1:6" x14ac:dyDescent="0.2">
      <c r="A22" s="16" t="s">
        <v>34</v>
      </c>
      <c r="B22" s="13">
        <v>21.29</v>
      </c>
      <c r="C22" s="13"/>
      <c r="D22" s="13"/>
      <c r="E22" s="13"/>
      <c r="F22" s="13"/>
    </row>
    <row r="23" spans="1:6" x14ac:dyDescent="0.2">
      <c r="A23" s="16" t="s">
        <v>35</v>
      </c>
      <c r="B23" s="13">
        <v>21.29</v>
      </c>
      <c r="C23" s="13"/>
      <c r="D23" s="13"/>
      <c r="E23" s="13"/>
      <c r="F23" s="13"/>
    </row>
    <row r="24" spans="1:6" x14ac:dyDescent="0.2">
      <c r="A24" s="16" t="s">
        <v>36</v>
      </c>
      <c r="B24" s="13">
        <v>21.57</v>
      </c>
      <c r="C24" s="13"/>
      <c r="D24" s="13"/>
      <c r="E24" s="13"/>
      <c r="F24" s="13"/>
    </row>
    <row r="25" spans="1:6" x14ac:dyDescent="0.2">
      <c r="A25" s="16" t="s">
        <v>37</v>
      </c>
      <c r="B25" s="13">
        <v>21.6</v>
      </c>
      <c r="C25" s="13"/>
      <c r="D25" s="13"/>
      <c r="E25" s="13"/>
      <c r="F25" s="13"/>
    </row>
    <row r="26" spans="1:6" x14ac:dyDescent="0.2">
      <c r="A26" s="16" t="s">
        <v>38</v>
      </c>
      <c r="B26" s="13">
        <v>21.78</v>
      </c>
      <c r="C26" s="13"/>
      <c r="D26" s="13"/>
      <c r="E26" s="13"/>
      <c r="F26" s="13"/>
    </row>
    <row r="27" spans="1:6" x14ac:dyDescent="0.2">
      <c r="A27" s="16" t="s">
        <v>39</v>
      </c>
      <c r="B27" s="13">
        <v>21.85</v>
      </c>
      <c r="C27" s="13"/>
      <c r="D27" s="13"/>
      <c r="E27" s="13"/>
      <c r="F27" s="13"/>
    </row>
    <row r="28" spans="1:6" x14ac:dyDescent="0.2">
      <c r="A28" s="16" t="s">
        <v>40</v>
      </c>
      <c r="B28" s="13">
        <v>21.73</v>
      </c>
      <c r="C28" s="13"/>
      <c r="D28" s="13"/>
      <c r="E28" s="13"/>
      <c r="F28" s="13"/>
    </row>
    <row r="29" spans="1:6" x14ac:dyDescent="0.2">
      <c r="A29" s="16" t="s">
        <v>41</v>
      </c>
      <c r="B29" s="13">
        <v>21.56</v>
      </c>
      <c r="C29" s="13"/>
      <c r="D29" s="13"/>
      <c r="E29" s="13"/>
      <c r="F29" s="13"/>
    </row>
    <row r="30" spans="1:6" x14ac:dyDescent="0.2">
      <c r="A30" s="16" t="s">
        <v>42</v>
      </c>
      <c r="B30" s="13">
        <v>21.48</v>
      </c>
      <c r="C30" s="13"/>
      <c r="D30" s="13"/>
      <c r="E30" s="13"/>
      <c r="F30" s="13"/>
    </row>
    <row r="31" spans="1:6" x14ac:dyDescent="0.2">
      <c r="A31" s="16" t="s">
        <v>43</v>
      </c>
      <c r="B31" s="13">
        <v>21.37</v>
      </c>
      <c r="C31" s="13"/>
      <c r="D31" s="13"/>
      <c r="E31" s="13"/>
      <c r="F31" s="13"/>
    </row>
    <row r="32" spans="1:6" x14ac:dyDescent="0.2">
      <c r="A32" s="16" t="s">
        <v>44</v>
      </c>
      <c r="B32" s="13">
        <v>21.37</v>
      </c>
      <c r="C32" s="13"/>
      <c r="D32" s="13"/>
      <c r="E32" s="13"/>
      <c r="F32" s="13"/>
    </row>
    <row r="33" spans="1:6" x14ac:dyDescent="0.2">
      <c r="A33" s="16" t="s">
        <v>45</v>
      </c>
      <c r="B33" s="13">
        <v>21.77</v>
      </c>
      <c r="C33" s="13"/>
      <c r="D33" s="13"/>
      <c r="E33" s="13"/>
      <c r="F33" s="13"/>
    </row>
    <row r="34" spans="1:6" x14ac:dyDescent="0.2">
      <c r="A34" s="16" t="s">
        <v>46</v>
      </c>
      <c r="B34" s="13">
        <v>21.73</v>
      </c>
      <c r="C34" s="13"/>
      <c r="D34" s="13"/>
      <c r="E34" s="13"/>
      <c r="F34" s="13"/>
    </row>
    <row r="35" spans="1:6" x14ac:dyDescent="0.2">
      <c r="A35" s="16" t="s">
        <v>47</v>
      </c>
      <c r="B35" s="13">
        <v>21.7</v>
      </c>
      <c r="C35" s="13"/>
      <c r="D35" s="13"/>
      <c r="E35" s="13"/>
      <c r="F35" s="13"/>
    </row>
    <row r="36" spans="1:6" x14ac:dyDescent="0.2">
      <c r="A36" s="16" t="s">
        <v>48</v>
      </c>
      <c r="B36" s="13">
        <v>21.73</v>
      </c>
      <c r="C36" s="13"/>
      <c r="D36" s="13"/>
      <c r="E36" s="13"/>
      <c r="F36" s="13"/>
    </row>
    <row r="37" spans="1:6" x14ac:dyDescent="0.2">
      <c r="A37" s="16" t="s">
        <v>49</v>
      </c>
      <c r="B37" s="13">
        <v>21.31</v>
      </c>
      <c r="C37" s="13"/>
      <c r="D37" s="13"/>
      <c r="E37" s="13"/>
      <c r="F37" s="13"/>
    </row>
    <row r="38" spans="1:6" x14ac:dyDescent="0.2">
      <c r="A38" s="16" t="s">
        <v>50</v>
      </c>
      <c r="B38" s="13">
        <v>21.55</v>
      </c>
      <c r="C38" s="13"/>
      <c r="D38" s="13"/>
      <c r="E38" s="13"/>
      <c r="F38" s="13"/>
    </row>
    <row r="39" spans="1:6" x14ac:dyDescent="0.2">
      <c r="A39" s="16" t="s">
        <v>51</v>
      </c>
      <c r="B39" s="13">
        <v>21.82</v>
      </c>
      <c r="C39" s="13"/>
      <c r="D39" s="13"/>
      <c r="E39" s="13"/>
      <c r="F39" s="13"/>
    </row>
    <row r="40" spans="1:6" x14ac:dyDescent="0.2">
      <c r="A40" s="16" t="s">
        <v>52</v>
      </c>
      <c r="B40" s="13">
        <v>21.34</v>
      </c>
      <c r="C40" s="13"/>
      <c r="D40" s="13"/>
      <c r="E40" s="13"/>
      <c r="F40" s="13"/>
    </row>
    <row r="41" spans="1:6" x14ac:dyDescent="0.2">
      <c r="A41" s="16" t="s">
        <v>53</v>
      </c>
      <c r="B41" s="13">
        <v>21.73</v>
      </c>
      <c r="C41" s="13"/>
      <c r="D41" s="13"/>
      <c r="E41" s="13"/>
      <c r="F41" s="13"/>
    </row>
    <row r="42" spans="1:6" x14ac:dyDescent="0.2">
      <c r="A42" s="16" t="s">
        <v>54</v>
      </c>
      <c r="B42" s="13">
        <v>20.89</v>
      </c>
      <c r="C42" s="13"/>
      <c r="D42" s="13"/>
      <c r="E42" s="13"/>
      <c r="F42" s="13"/>
    </row>
    <row r="43" spans="1:6" x14ac:dyDescent="0.2">
      <c r="A43" s="16" t="s">
        <v>55</v>
      </c>
      <c r="B43" s="13">
        <v>21.41</v>
      </c>
      <c r="C43" s="13"/>
      <c r="D43" s="13"/>
      <c r="E43" s="13"/>
      <c r="F43" s="13"/>
    </row>
    <row r="44" spans="1:6" x14ac:dyDescent="0.2">
      <c r="A44" s="16" t="s">
        <v>56</v>
      </c>
      <c r="B44" s="13">
        <v>21.82</v>
      </c>
      <c r="C44" s="13"/>
      <c r="D44" s="13"/>
      <c r="E44" s="13"/>
      <c r="F44" s="13"/>
    </row>
    <row r="45" spans="1:6" x14ac:dyDescent="0.2">
      <c r="A45" s="16" t="s">
        <v>57</v>
      </c>
      <c r="B45" s="13">
        <v>21.09</v>
      </c>
      <c r="C45" s="13"/>
      <c r="D45" s="13"/>
      <c r="E45" s="13"/>
      <c r="F45" s="13"/>
    </row>
    <row r="46" spans="1:6" x14ac:dyDescent="0.2">
      <c r="A46" s="16" t="s">
        <v>58</v>
      </c>
      <c r="B46" s="13">
        <v>20.53</v>
      </c>
      <c r="C46" s="13"/>
      <c r="D46" s="13"/>
      <c r="E46" s="13"/>
      <c r="F46" s="13"/>
    </row>
    <row r="47" spans="1:6" x14ac:dyDescent="0.2">
      <c r="A47" s="16" t="s">
        <v>59</v>
      </c>
      <c r="B47" s="13">
        <v>20.8</v>
      </c>
      <c r="C47" s="13"/>
      <c r="D47" s="13"/>
      <c r="E47" s="13"/>
      <c r="F47" s="13"/>
    </row>
    <row r="48" spans="1:6" x14ac:dyDescent="0.2">
      <c r="A48" s="16" t="s">
        <v>60</v>
      </c>
      <c r="B48" s="13">
        <v>21.08</v>
      </c>
      <c r="C48" s="13"/>
      <c r="D48" s="13"/>
      <c r="E48" s="13"/>
      <c r="F48" s="13"/>
    </row>
    <row r="49" spans="1:6" x14ac:dyDescent="0.2">
      <c r="A49" s="16" t="s">
        <v>61</v>
      </c>
      <c r="B49" s="13">
        <v>21.59</v>
      </c>
      <c r="C49" s="13"/>
      <c r="D49" s="13"/>
      <c r="E49" s="13"/>
      <c r="F49" s="13"/>
    </row>
    <row r="50" spans="1:6" x14ac:dyDescent="0.2">
      <c r="A50" s="16" t="s">
        <v>62</v>
      </c>
      <c r="B50" s="13">
        <v>21.51</v>
      </c>
      <c r="C50" s="13"/>
      <c r="D50" s="13"/>
      <c r="E50" s="13"/>
      <c r="F50" s="13"/>
    </row>
    <row r="51" spans="1:6" x14ac:dyDescent="0.2">
      <c r="A51" s="16" t="s">
        <v>63</v>
      </c>
      <c r="B51" s="13">
        <v>21.73</v>
      </c>
      <c r="C51" s="13"/>
      <c r="D51" s="13"/>
      <c r="E51" s="13"/>
      <c r="F51" s="13"/>
    </row>
    <row r="52" spans="1:6" x14ac:dyDescent="0.2">
      <c r="A52" s="16" t="s">
        <v>64</v>
      </c>
      <c r="B52" s="13">
        <v>21.95</v>
      </c>
      <c r="C52" s="13"/>
      <c r="D52" s="13"/>
      <c r="E52" s="13"/>
      <c r="F52" s="13"/>
    </row>
    <row r="53" spans="1:6" x14ac:dyDescent="0.2">
      <c r="A53" s="16" t="s">
        <v>65</v>
      </c>
      <c r="B53" s="13">
        <v>21.66</v>
      </c>
      <c r="C53" s="13"/>
      <c r="D53" s="13"/>
      <c r="E53" s="13"/>
      <c r="F53" s="13"/>
    </row>
    <row r="54" spans="1:6" x14ac:dyDescent="0.2">
      <c r="A54" s="16" t="s">
        <v>66</v>
      </c>
      <c r="B54" s="13">
        <v>21</v>
      </c>
      <c r="C54" s="13"/>
      <c r="D54" s="13"/>
      <c r="E54" s="13"/>
      <c r="F54" s="13"/>
    </row>
    <row r="55" spans="1:6" x14ac:dyDescent="0.2">
      <c r="A55" s="16" t="s">
        <v>67</v>
      </c>
      <c r="B55" s="13">
        <v>21.16</v>
      </c>
      <c r="C55" s="13"/>
      <c r="D55" s="13"/>
      <c r="E55" s="13"/>
      <c r="F55" s="13"/>
    </row>
    <row r="56" spans="1:6" x14ac:dyDescent="0.2">
      <c r="A56" s="16" t="s">
        <v>68</v>
      </c>
      <c r="B56" s="13">
        <v>21.02</v>
      </c>
      <c r="C56" s="13"/>
      <c r="D56" s="13"/>
      <c r="E56" s="13"/>
      <c r="F56" s="13"/>
    </row>
    <row r="57" spans="1:6" x14ac:dyDescent="0.2">
      <c r="A57" s="16" t="s">
        <v>69</v>
      </c>
      <c r="B57" s="13">
        <v>21.22</v>
      </c>
      <c r="C57" s="13"/>
      <c r="D57" s="13"/>
      <c r="E57" s="13"/>
      <c r="F57" s="13"/>
    </row>
    <row r="58" spans="1:6" x14ac:dyDescent="0.2">
      <c r="A58" s="16" t="s">
        <v>70</v>
      </c>
      <c r="B58" s="13">
        <v>21.32</v>
      </c>
      <c r="C58" s="13"/>
      <c r="D58" s="13"/>
      <c r="E58" s="13"/>
      <c r="F58" s="13"/>
    </row>
    <row r="59" spans="1:6" x14ac:dyDescent="0.2">
      <c r="A59" s="16" t="s">
        <v>71</v>
      </c>
      <c r="B59" s="13">
        <v>21.03</v>
      </c>
      <c r="C59" s="13"/>
      <c r="D59" s="13"/>
      <c r="E59" s="13"/>
      <c r="F59" s="13"/>
    </row>
    <row r="60" spans="1:6" x14ac:dyDescent="0.2">
      <c r="A60" s="16" t="s">
        <v>72</v>
      </c>
      <c r="B60" s="13">
        <v>21.24</v>
      </c>
      <c r="C60" s="13"/>
      <c r="D60" s="13"/>
      <c r="E60" s="13"/>
      <c r="F60" s="13"/>
    </row>
    <row r="61" spans="1:6" x14ac:dyDescent="0.2">
      <c r="A61" s="16" t="s">
        <v>73</v>
      </c>
      <c r="B61" s="13">
        <v>21.47</v>
      </c>
      <c r="C61" s="13"/>
      <c r="D61" s="13"/>
      <c r="E61" s="13"/>
      <c r="F61" s="13"/>
    </row>
    <row r="62" spans="1:6" x14ac:dyDescent="0.2">
      <c r="A62" s="16" t="s">
        <v>74</v>
      </c>
      <c r="B62" s="13">
        <v>21.44</v>
      </c>
      <c r="C62" s="13"/>
      <c r="D62" s="13"/>
      <c r="E62" s="13"/>
      <c r="F62" s="13"/>
    </row>
    <row r="63" spans="1:6" x14ac:dyDescent="0.2">
      <c r="A63" s="16" t="s">
        <v>75</v>
      </c>
      <c r="B63" s="13">
        <v>21.85</v>
      </c>
      <c r="C63" s="13"/>
      <c r="D63" s="13"/>
      <c r="E63" s="13"/>
      <c r="F63" s="13"/>
    </row>
    <row r="64" spans="1:6" x14ac:dyDescent="0.2">
      <c r="A64" s="16" t="s">
        <v>76</v>
      </c>
      <c r="B64" s="13">
        <v>21.69</v>
      </c>
      <c r="C64" s="13"/>
      <c r="D64" s="13"/>
      <c r="E64" s="13"/>
      <c r="F64" s="13"/>
    </row>
    <row r="65" spans="1:6" x14ac:dyDescent="0.2">
      <c r="A65" s="16" t="s">
        <v>77</v>
      </c>
      <c r="B65" s="13">
        <v>21.12</v>
      </c>
      <c r="C65" s="13"/>
      <c r="D65" s="13"/>
      <c r="E65" s="13"/>
      <c r="F65" s="13"/>
    </row>
    <row r="66" spans="1:6" x14ac:dyDescent="0.2">
      <c r="A66" s="16" t="s">
        <v>78</v>
      </c>
      <c r="B66" s="13">
        <v>21.56</v>
      </c>
      <c r="C66" s="13"/>
      <c r="D66" s="13"/>
      <c r="E66" s="13"/>
      <c r="F66" s="13"/>
    </row>
    <row r="67" spans="1:6" x14ac:dyDescent="0.2">
      <c r="A67" s="16" t="s">
        <v>79</v>
      </c>
      <c r="B67" s="13">
        <v>21.15</v>
      </c>
      <c r="C67" s="13"/>
      <c r="D67" s="13"/>
      <c r="E67" s="13"/>
      <c r="F67" s="13"/>
    </row>
    <row r="68" spans="1:6" x14ac:dyDescent="0.2">
      <c r="A68" s="16" t="s">
        <v>80</v>
      </c>
      <c r="B68" s="13">
        <v>21.65</v>
      </c>
      <c r="C68" s="13"/>
      <c r="D68" s="13"/>
      <c r="E68" s="13"/>
      <c r="F68" s="13"/>
    </row>
    <row r="69" spans="1:6" x14ac:dyDescent="0.2">
      <c r="A69" s="16" t="s">
        <v>81</v>
      </c>
      <c r="B69" s="13">
        <v>21.26</v>
      </c>
      <c r="C69" s="13"/>
      <c r="D69" s="13"/>
      <c r="E69" s="13"/>
      <c r="F69" s="13"/>
    </row>
    <row r="70" spans="1:6" x14ac:dyDescent="0.2">
      <c r="A70" s="16" t="s">
        <v>82</v>
      </c>
      <c r="B70" s="13">
        <v>21.43</v>
      </c>
      <c r="C70" s="13"/>
      <c r="D70" s="13"/>
      <c r="E70" s="13"/>
      <c r="F70" s="13"/>
    </row>
    <row r="71" spans="1:6" x14ac:dyDescent="0.2">
      <c r="A71" s="16" t="s">
        <v>83</v>
      </c>
      <c r="B71" s="13">
        <v>21.36</v>
      </c>
      <c r="C71" s="13"/>
      <c r="D71" s="13"/>
      <c r="E71" s="13"/>
      <c r="F71" s="13"/>
    </row>
    <row r="72" spans="1:6" x14ac:dyDescent="0.2">
      <c r="A72" s="16" t="s">
        <v>84</v>
      </c>
      <c r="B72" s="13">
        <v>21.36</v>
      </c>
      <c r="C72" s="13"/>
      <c r="D72" s="13"/>
      <c r="E72" s="13"/>
      <c r="F72" s="13"/>
    </row>
    <row r="73" spans="1:6" x14ac:dyDescent="0.2">
      <c r="A73" s="16" t="s">
        <v>85</v>
      </c>
      <c r="B73" s="13">
        <v>21.23</v>
      </c>
      <c r="C73" s="13"/>
      <c r="D73" s="13"/>
      <c r="E73" s="13"/>
      <c r="F73" s="13"/>
    </row>
    <row r="74" spans="1:6" x14ac:dyDescent="0.2">
      <c r="A74" s="16" t="s">
        <v>86</v>
      </c>
      <c r="B74" s="13">
        <v>20.89</v>
      </c>
      <c r="C74" s="13"/>
      <c r="D74" s="13"/>
      <c r="E74" s="13"/>
      <c r="F74" s="13"/>
    </row>
    <row r="75" spans="1:6" x14ac:dyDescent="0.2">
      <c r="A75" s="16" t="s">
        <v>87</v>
      </c>
      <c r="B75" s="13">
        <v>21.06</v>
      </c>
      <c r="C75" s="13"/>
      <c r="D75" s="13"/>
      <c r="E75" s="13"/>
      <c r="F75" s="13"/>
    </row>
    <row r="76" spans="1:6" x14ac:dyDescent="0.2">
      <c r="A76" s="16" t="s">
        <v>88</v>
      </c>
      <c r="B76" s="13">
        <v>21.04</v>
      </c>
      <c r="C76" s="13"/>
      <c r="D76" s="13"/>
      <c r="E76" s="13"/>
      <c r="F76" s="13"/>
    </row>
    <row r="77" spans="1:6" x14ac:dyDescent="0.2">
      <c r="A77" s="16" t="s">
        <v>89</v>
      </c>
      <c r="B77" s="13">
        <v>19.989999999999998</v>
      </c>
      <c r="C77" s="13"/>
      <c r="D77" s="13"/>
      <c r="E77" s="13"/>
      <c r="F77" s="13"/>
    </row>
    <row r="78" spans="1:6" x14ac:dyDescent="0.2">
      <c r="A78" s="16" t="s">
        <v>90</v>
      </c>
      <c r="B78" s="13">
        <v>20.27</v>
      </c>
      <c r="C78" s="13"/>
      <c r="D78" s="13"/>
      <c r="E78" s="13"/>
      <c r="F78" s="13"/>
    </row>
    <row r="79" spans="1:6" x14ac:dyDescent="0.2">
      <c r="A79" s="16" t="s">
        <v>91</v>
      </c>
      <c r="B79" s="13">
        <v>20.99</v>
      </c>
      <c r="C79" s="13"/>
      <c r="D79" s="13"/>
      <c r="E79" s="13"/>
      <c r="F79" s="13"/>
    </row>
    <row r="80" spans="1:6" x14ac:dyDescent="0.2">
      <c r="A80" s="16" t="s">
        <v>92</v>
      </c>
      <c r="B80" s="13">
        <v>20.75</v>
      </c>
      <c r="C80" s="13"/>
      <c r="D80" s="13"/>
      <c r="E80" s="13"/>
      <c r="F80" s="13"/>
    </row>
    <row r="81" spans="1:6" x14ac:dyDescent="0.2">
      <c r="A81" s="16" t="s">
        <v>93</v>
      </c>
      <c r="B81" s="13">
        <v>20.99</v>
      </c>
      <c r="C81" s="13"/>
      <c r="D81" s="13"/>
      <c r="E81" s="13"/>
      <c r="F81" s="13"/>
    </row>
    <row r="82" spans="1:6" x14ac:dyDescent="0.2">
      <c r="A82" s="16" t="s">
        <v>94</v>
      </c>
      <c r="B82" s="13">
        <v>21.19</v>
      </c>
      <c r="C82" s="13"/>
      <c r="D82" s="13"/>
      <c r="E82" s="13"/>
      <c r="F82" s="13"/>
    </row>
    <row r="83" spans="1:6" x14ac:dyDescent="0.2">
      <c r="A83" s="16" t="s">
        <v>95</v>
      </c>
      <c r="B83" s="13">
        <v>21.21</v>
      </c>
      <c r="C83" s="13"/>
      <c r="D83" s="13"/>
      <c r="E83" s="13"/>
      <c r="F83" s="13"/>
    </row>
    <row r="84" spans="1:6" x14ac:dyDescent="0.2">
      <c r="A84" s="16" t="s">
        <v>96</v>
      </c>
      <c r="B84" s="13">
        <v>20.88</v>
      </c>
      <c r="C84" s="13"/>
      <c r="D84" s="13"/>
      <c r="E84" s="13"/>
      <c r="F84" s="13"/>
    </row>
    <row r="85" spans="1:6" x14ac:dyDescent="0.2">
      <c r="A85" s="16" t="s">
        <v>97</v>
      </c>
      <c r="B85" s="13">
        <v>20.47</v>
      </c>
      <c r="C85" s="13"/>
      <c r="D85" s="13"/>
      <c r="E85" s="13"/>
      <c r="F85" s="13"/>
    </row>
    <row r="86" spans="1:6" x14ac:dyDescent="0.2">
      <c r="A86" s="16" t="s">
        <v>98</v>
      </c>
      <c r="B86" s="13">
        <v>20.5</v>
      </c>
      <c r="C86" s="13"/>
      <c r="D86" s="13"/>
      <c r="E86" s="13"/>
      <c r="F86" s="13"/>
    </row>
    <row r="87" spans="1:6" x14ac:dyDescent="0.2">
      <c r="A87" s="16" t="s">
        <v>99</v>
      </c>
      <c r="B87" s="13">
        <v>20.059999999999999</v>
      </c>
      <c r="C87" s="13"/>
      <c r="D87" s="13"/>
      <c r="E87" s="13"/>
      <c r="F87" s="13"/>
    </row>
    <row r="88" spans="1:6" x14ac:dyDescent="0.2">
      <c r="A88" s="16" t="s">
        <v>100</v>
      </c>
      <c r="B88" s="13">
        <v>20.59</v>
      </c>
      <c r="C88" s="13"/>
      <c r="D88" s="13"/>
      <c r="E88" s="13"/>
      <c r="F88" s="13"/>
    </row>
    <row r="89" spans="1:6" x14ac:dyDescent="0.2">
      <c r="A89" s="16" t="s">
        <v>101</v>
      </c>
      <c r="B89" s="13">
        <v>21.05</v>
      </c>
      <c r="C89" s="13"/>
      <c r="D89" s="13"/>
      <c r="E89" s="13"/>
      <c r="F89" s="13"/>
    </row>
    <row r="90" spans="1:6" x14ac:dyDescent="0.2">
      <c r="A90" s="16" t="s">
        <v>102</v>
      </c>
      <c r="B90" s="13">
        <v>20.64</v>
      </c>
      <c r="C90" s="13"/>
      <c r="D90" s="13"/>
      <c r="E90" s="13"/>
      <c r="F90" s="13"/>
    </row>
    <row r="91" spans="1:6" x14ac:dyDescent="0.2">
      <c r="A91" s="16" t="s">
        <v>103</v>
      </c>
      <c r="B91" s="13">
        <v>20.420000000000002</v>
      </c>
      <c r="C91" s="13"/>
      <c r="D91" s="13"/>
      <c r="E91" s="13"/>
      <c r="F91" s="13"/>
    </row>
    <row r="92" spans="1:6" x14ac:dyDescent="0.2">
      <c r="A92" s="16" t="s">
        <v>104</v>
      </c>
      <c r="B92" s="13">
        <v>19.84</v>
      </c>
      <c r="C92" s="13"/>
      <c r="D92" s="13"/>
      <c r="E92" s="13"/>
      <c r="F92" s="13"/>
    </row>
    <row r="93" spans="1:6" x14ac:dyDescent="0.2">
      <c r="A93" s="16" t="s">
        <v>105</v>
      </c>
      <c r="B93" s="13">
        <v>20.59</v>
      </c>
      <c r="C93" s="13"/>
      <c r="D93" s="13"/>
      <c r="E93" s="13"/>
      <c r="F93" s="13"/>
    </row>
    <row r="94" spans="1:6" x14ac:dyDescent="0.2">
      <c r="A94" s="16" t="s">
        <v>106</v>
      </c>
      <c r="B94" s="13">
        <v>20.62</v>
      </c>
      <c r="C94" s="13"/>
      <c r="D94" s="13"/>
      <c r="E94" s="13"/>
      <c r="F94" s="13"/>
    </row>
    <row r="95" spans="1:6" x14ac:dyDescent="0.2">
      <c r="A95" s="16" t="s">
        <v>107</v>
      </c>
      <c r="B95" s="13">
        <v>20.7</v>
      </c>
      <c r="C95" s="13"/>
      <c r="D95" s="13"/>
      <c r="E95" s="13"/>
      <c r="F95" s="13"/>
    </row>
    <row r="96" spans="1:6" x14ac:dyDescent="0.2">
      <c r="A96" s="16" t="s">
        <v>108</v>
      </c>
      <c r="B96" s="13">
        <v>20.39</v>
      </c>
      <c r="C96" s="13"/>
      <c r="D96" s="13"/>
      <c r="E96" s="13"/>
      <c r="F96" s="13"/>
    </row>
    <row r="97" spans="1:6" x14ac:dyDescent="0.2">
      <c r="A97" s="16" t="s">
        <v>109</v>
      </c>
      <c r="B97" s="13">
        <v>20.440000000000001</v>
      </c>
      <c r="C97" s="13"/>
      <c r="D97" s="13"/>
      <c r="E97" s="13"/>
      <c r="F97" s="13"/>
    </row>
    <row r="98" spans="1:6" x14ac:dyDescent="0.2">
      <c r="A98" s="16" t="s">
        <v>110</v>
      </c>
      <c r="B98" s="13">
        <v>20.65</v>
      </c>
      <c r="C98" s="13"/>
      <c r="D98" s="13"/>
      <c r="E98" s="13"/>
      <c r="F98" s="13"/>
    </row>
    <row r="99" spans="1:6" x14ac:dyDescent="0.2">
      <c r="A99" s="16" t="s">
        <v>111</v>
      </c>
      <c r="B99" s="13">
        <v>20.34</v>
      </c>
      <c r="C99" s="13"/>
      <c r="D99" s="13"/>
      <c r="E99" s="13"/>
      <c r="F99" s="13"/>
    </row>
    <row r="100" spans="1:6" x14ac:dyDescent="0.2">
      <c r="A100" s="16" t="s">
        <v>112</v>
      </c>
      <c r="B100" s="13">
        <v>20</v>
      </c>
      <c r="C100" s="13"/>
      <c r="D100" s="13"/>
      <c r="E100" s="13"/>
      <c r="F100" s="13"/>
    </row>
    <row r="101" spans="1:6" x14ac:dyDescent="0.2">
      <c r="A101" s="16" t="s">
        <v>113</v>
      </c>
      <c r="B101" s="13">
        <v>19.510000000000002</v>
      </c>
      <c r="C101" s="13"/>
      <c r="D101" s="13"/>
      <c r="E101" s="13"/>
      <c r="F101" s="13"/>
    </row>
    <row r="102" spans="1:6" x14ac:dyDescent="0.2">
      <c r="A102" s="16" t="s">
        <v>114</v>
      </c>
      <c r="B102" s="13">
        <v>19.8</v>
      </c>
      <c r="C102" s="13"/>
      <c r="D102" s="13"/>
      <c r="E102" s="13"/>
      <c r="F102" s="13"/>
    </row>
    <row r="103" spans="1:6" x14ac:dyDescent="0.2">
      <c r="A103" s="16" t="s">
        <v>115</v>
      </c>
      <c r="B103" s="13">
        <v>19.399999999999999</v>
      </c>
      <c r="C103" s="13"/>
      <c r="D103" s="13"/>
      <c r="E103" s="13"/>
      <c r="F103" s="13"/>
    </row>
    <row r="104" spans="1:6" x14ac:dyDescent="0.2">
      <c r="A104" s="16" t="s">
        <v>116</v>
      </c>
      <c r="B104" s="13">
        <v>18.98</v>
      </c>
      <c r="C104" s="13"/>
      <c r="D104" s="13"/>
      <c r="E104" s="13"/>
      <c r="F104" s="13"/>
    </row>
    <row r="105" spans="1:6" x14ac:dyDescent="0.2">
      <c r="A105" s="16" t="s">
        <v>117</v>
      </c>
      <c r="B105" s="13">
        <v>19.11</v>
      </c>
      <c r="C105" s="13"/>
      <c r="D105" s="13"/>
      <c r="E105" s="13"/>
      <c r="F105" s="13"/>
    </row>
    <row r="106" spans="1:6" x14ac:dyDescent="0.2">
      <c r="A106" s="16" t="s">
        <v>118</v>
      </c>
      <c r="B106" s="13">
        <v>18.850000000000001</v>
      </c>
      <c r="C106" s="13"/>
      <c r="D106" s="13"/>
      <c r="E106" s="13"/>
      <c r="F106" s="13"/>
    </row>
    <row r="107" spans="1:6" x14ac:dyDescent="0.2">
      <c r="A107" s="16" t="s">
        <v>119</v>
      </c>
      <c r="B107" s="13">
        <v>18.97</v>
      </c>
      <c r="C107" s="13"/>
      <c r="D107" s="13"/>
      <c r="E107" s="13"/>
      <c r="F107" s="13"/>
    </row>
    <row r="108" spans="1:6" x14ac:dyDescent="0.2">
      <c r="A108" s="16" t="s">
        <v>120</v>
      </c>
      <c r="B108" s="13">
        <v>18.8</v>
      </c>
      <c r="C108" s="13"/>
      <c r="D108" s="13"/>
      <c r="E108" s="13"/>
      <c r="F108" s="13"/>
    </row>
    <row r="109" spans="1:6" x14ac:dyDescent="0.2">
      <c r="A109" s="16" t="s">
        <v>121</v>
      </c>
      <c r="B109" s="13">
        <v>19.16</v>
      </c>
      <c r="C109" s="13"/>
      <c r="D109" s="13"/>
      <c r="E109" s="13"/>
      <c r="F109" s="13"/>
    </row>
    <row r="110" spans="1:6" x14ac:dyDescent="0.2">
      <c r="A110" s="16" t="s">
        <v>122</v>
      </c>
      <c r="B110" s="13">
        <v>19.2</v>
      </c>
      <c r="C110" s="13"/>
      <c r="D110" s="13"/>
      <c r="E110" s="13"/>
      <c r="F110" s="13"/>
    </row>
    <row r="111" spans="1:6" x14ac:dyDescent="0.2">
      <c r="A111" s="16" t="s">
        <v>123</v>
      </c>
      <c r="B111" s="13">
        <v>19.38</v>
      </c>
      <c r="C111" s="13"/>
      <c r="D111" s="13"/>
      <c r="E111" s="13"/>
      <c r="F111" s="13"/>
    </row>
    <row r="112" spans="1:6" x14ac:dyDescent="0.2">
      <c r="A112" s="16" t="s">
        <v>124</v>
      </c>
      <c r="B112" s="13">
        <v>19.53</v>
      </c>
      <c r="C112" s="13"/>
      <c r="D112" s="13"/>
      <c r="E112" s="13"/>
      <c r="F112" s="13"/>
    </row>
    <row r="113" spans="1:6" x14ac:dyDescent="0.2">
      <c r="A113" s="16" t="s">
        <v>125</v>
      </c>
      <c r="B113" s="13">
        <v>19.190000000000001</v>
      </c>
      <c r="C113" s="13"/>
      <c r="D113" s="13"/>
      <c r="E113" s="13"/>
      <c r="F113" s="13"/>
    </row>
    <row r="114" spans="1:6" x14ac:dyDescent="0.2">
      <c r="A114" s="16" t="s">
        <v>126</v>
      </c>
      <c r="B114" s="13">
        <v>19.27</v>
      </c>
      <c r="C114" s="13"/>
      <c r="D114" s="13"/>
      <c r="E114" s="13"/>
      <c r="F114" s="13"/>
    </row>
    <row r="115" spans="1:6" x14ac:dyDescent="0.2">
      <c r="A115" s="16" t="s">
        <v>127</v>
      </c>
      <c r="B115" s="13">
        <v>19.57</v>
      </c>
      <c r="C115" s="13"/>
      <c r="D115" s="13"/>
      <c r="E115" s="13"/>
      <c r="F115" s="13"/>
    </row>
    <row r="116" spans="1:6" x14ac:dyDescent="0.2">
      <c r="A116" s="16" t="s">
        <v>128</v>
      </c>
      <c r="B116" s="13">
        <v>19.54</v>
      </c>
      <c r="C116" s="13"/>
      <c r="D116" s="13"/>
      <c r="E116" s="13"/>
      <c r="F116" s="13"/>
    </row>
    <row r="117" spans="1:6" x14ac:dyDescent="0.2">
      <c r="A117" s="16" t="s">
        <v>129</v>
      </c>
      <c r="B117" s="13">
        <v>19.940000000000001</v>
      </c>
      <c r="C117" s="13"/>
      <c r="D117" s="13"/>
      <c r="E117" s="13"/>
      <c r="F117" s="13"/>
    </row>
    <row r="118" spans="1:6" x14ac:dyDescent="0.2">
      <c r="A118" s="16" t="s">
        <v>130</v>
      </c>
      <c r="B118" s="13">
        <v>19.88</v>
      </c>
      <c r="C118" s="13"/>
      <c r="D118" s="13"/>
      <c r="E118" s="13"/>
      <c r="F118" s="13"/>
    </row>
    <row r="119" spans="1:6" x14ac:dyDescent="0.2">
      <c r="A119" s="16" t="s">
        <v>131</v>
      </c>
      <c r="B119" s="13">
        <v>19.829999999999998</v>
      </c>
      <c r="C119" s="13"/>
      <c r="D119" s="13"/>
      <c r="E119" s="13"/>
      <c r="F119" s="13"/>
    </row>
    <row r="120" spans="1:6" x14ac:dyDescent="0.2">
      <c r="A120" s="16" t="s">
        <v>132</v>
      </c>
      <c r="B120" s="13">
        <v>19.8</v>
      </c>
      <c r="C120" s="13"/>
      <c r="D120" s="13"/>
      <c r="E120" s="13"/>
      <c r="F120" s="13"/>
    </row>
    <row r="121" spans="1:6" x14ac:dyDescent="0.2">
      <c r="A121" s="16" t="s">
        <v>133</v>
      </c>
      <c r="B121" s="13">
        <v>19.649999999999999</v>
      </c>
      <c r="C121" s="13"/>
      <c r="D121" s="13"/>
      <c r="E121" s="13"/>
      <c r="F121" s="13"/>
    </row>
    <row r="122" spans="1:6" x14ac:dyDescent="0.2">
      <c r="A122" s="16" t="s">
        <v>134</v>
      </c>
      <c r="B122" s="13">
        <v>19.940000000000001</v>
      </c>
      <c r="C122" s="13"/>
      <c r="D122" s="13"/>
      <c r="E122" s="13"/>
      <c r="F122" s="13"/>
    </row>
    <row r="123" spans="1:6" x14ac:dyDescent="0.2">
      <c r="A123" s="16" t="s">
        <v>135</v>
      </c>
      <c r="B123" s="13">
        <v>19.91</v>
      </c>
      <c r="C123" s="13"/>
      <c r="D123" s="13"/>
      <c r="E123" s="13"/>
      <c r="F123" s="13"/>
    </row>
    <row r="124" spans="1:6" x14ac:dyDescent="0.2">
      <c r="A124" s="16" t="s">
        <v>136</v>
      </c>
      <c r="B124" s="13">
        <v>20.04</v>
      </c>
      <c r="C124" s="13"/>
      <c r="D124" s="13"/>
      <c r="E124" s="13"/>
      <c r="F124" s="13"/>
    </row>
    <row r="125" spans="1:6" x14ac:dyDescent="0.2">
      <c r="A125" s="16" t="s">
        <v>137</v>
      </c>
      <c r="B125" s="13">
        <v>20.18</v>
      </c>
      <c r="C125" s="13"/>
      <c r="D125" s="13"/>
      <c r="E125" s="13"/>
      <c r="F125" s="13"/>
    </row>
    <row r="126" spans="1:6" x14ac:dyDescent="0.2">
      <c r="A126" s="16" t="s">
        <v>138</v>
      </c>
      <c r="B126" s="13">
        <v>19.82</v>
      </c>
      <c r="C126" s="13"/>
      <c r="D126" s="13"/>
      <c r="E126" s="13"/>
      <c r="F126" s="13"/>
    </row>
    <row r="127" spans="1:6" x14ac:dyDescent="0.2">
      <c r="A127" s="16" t="s">
        <v>139</v>
      </c>
      <c r="B127" s="13">
        <v>19.989999999999998</v>
      </c>
      <c r="C127" s="13"/>
      <c r="D127" s="13"/>
      <c r="E127" s="13"/>
      <c r="F127" s="13"/>
    </row>
    <row r="128" spans="1:6" x14ac:dyDescent="0.2">
      <c r="A128" s="16" t="s">
        <v>140</v>
      </c>
      <c r="B128" s="13">
        <v>20.63</v>
      </c>
      <c r="C128" s="13"/>
      <c r="D128" s="13"/>
      <c r="E128" s="13"/>
      <c r="F128" s="13"/>
    </row>
    <row r="129" spans="1:6" x14ac:dyDescent="0.2">
      <c r="A129" s="16" t="s">
        <v>141</v>
      </c>
      <c r="B129" s="13">
        <v>21</v>
      </c>
      <c r="C129" s="13"/>
      <c r="D129" s="13"/>
      <c r="E129" s="13"/>
      <c r="F129" s="13"/>
    </row>
    <row r="130" spans="1:6" x14ac:dyDescent="0.2">
      <c r="A130" s="16" t="s">
        <v>142</v>
      </c>
      <c r="B130" s="13">
        <v>21.5</v>
      </c>
      <c r="C130" s="13"/>
      <c r="D130" s="13"/>
      <c r="E130" s="13"/>
      <c r="F130" s="13"/>
    </row>
    <row r="131" spans="1:6" x14ac:dyDescent="0.2">
      <c r="A131" s="16" t="s">
        <v>143</v>
      </c>
      <c r="B131" s="13">
        <v>21.36</v>
      </c>
      <c r="C131" s="13"/>
      <c r="D131" s="13"/>
      <c r="E131" s="13"/>
      <c r="F131" s="13"/>
    </row>
    <row r="132" spans="1:6" x14ac:dyDescent="0.2">
      <c r="A132" s="16" t="s">
        <v>144</v>
      </c>
      <c r="B132" s="13">
        <v>21.34</v>
      </c>
      <c r="C132" s="13"/>
      <c r="D132" s="13"/>
      <c r="E132" s="13"/>
      <c r="F132" s="13"/>
    </row>
    <row r="133" spans="1:6" x14ac:dyDescent="0.2">
      <c r="A133" s="16" t="s">
        <v>145</v>
      </c>
      <c r="B133" s="13">
        <v>21.4</v>
      </c>
      <c r="C133" s="13"/>
      <c r="D133" s="13"/>
      <c r="E133" s="13"/>
      <c r="F133" s="13"/>
    </row>
    <row r="134" spans="1:6" x14ac:dyDescent="0.2">
      <c r="A134" s="16" t="s">
        <v>146</v>
      </c>
      <c r="B134" s="13">
        <v>21.61</v>
      </c>
      <c r="C134" s="13"/>
      <c r="D134" s="13"/>
      <c r="E134" s="13"/>
      <c r="F134" s="13"/>
    </row>
    <row r="135" spans="1:6" x14ac:dyDescent="0.2">
      <c r="A135" s="16" t="s">
        <v>147</v>
      </c>
      <c r="B135" s="13">
        <v>21.95</v>
      </c>
      <c r="C135" s="13"/>
      <c r="D135" s="13"/>
      <c r="E135" s="13"/>
      <c r="F135" s="13"/>
    </row>
    <row r="136" spans="1:6" x14ac:dyDescent="0.2">
      <c r="A136" s="16" t="s">
        <v>148</v>
      </c>
      <c r="B136" s="13">
        <v>22.56</v>
      </c>
      <c r="C136" s="13"/>
      <c r="D136" s="13"/>
      <c r="E136" s="13"/>
      <c r="F136" s="13"/>
    </row>
    <row r="137" spans="1:6" x14ac:dyDescent="0.2">
      <c r="A137" s="16" t="s">
        <v>149</v>
      </c>
      <c r="B137" s="13">
        <v>22.04</v>
      </c>
      <c r="C137" s="13"/>
      <c r="D137" s="13"/>
      <c r="E137" s="13"/>
      <c r="F137" s="13"/>
    </row>
    <row r="138" spans="1:6" x14ac:dyDescent="0.2">
      <c r="A138" s="16" t="s">
        <v>150</v>
      </c>
      <c r="B138" s="13">
        <v>22.24</v>
      </c>
      <c r="C138" s="13"/>
      <c r="D138" s="13"/>
      <c r="E138" s="13"/>
      <c r="F138" s="13"/>
    </row>
    <row r="139" spans="1:6" x14ac:dyDescent="0.2">
      <c r="A139" s="16" t="s">
        <v>151</v>
      </c>
      <c r="B139" s="13">
        <v>22.19</v>
      </c>
      <c r="C139" s="13"/>
      <c r="D139" s="13"/>
      <c r="E139" s="13"/>
      <c r="F139" s="13"/>
    </row>
    <row r="140" spans="1:6" x14ac:dyDescent="0.2">
      <c r="A140" s="16" t="s">
        <v>152</v>
      </c>
      <c r="B140" s="13">
        <v>22.66</v>
      </c>
      <c r="C140" s="13"/>
      <c r="D140" s="13"/>
      <c r="E140" s="13"/>
      <c r="F140" s="13"/>
    </row>
    <row r="141" spans="1:6" x14ac:dyDescent="0.2">
      <c r="A141" s="16" t="s">
        <v>153</v>
      </c>
      <c r="B141" s="13">
        <v>23</v>
      </c>
      <c r="C141" s="13"/>
      <c r="D141" s="13"/>
      <c r="E141" s="13"/>
      <c r="F141" s="13"/>
    </row>
    <row r="142" spans="1:6" x14ac:dyDescent="0.2">
      <c r="A142" s="16" t="s">
        <v>154</v>
      </c>
      <c r="B142" s="13">
        <v>23.01</v>
      </c>
      <c r="C142" s="13"/>
      <c r="D142" s="13"/>
      <c r="E142" s="13"/>
      <c r="F142" s="13"/>
    </row>
    <row r="143" spans="1:6" x14ac:dyDescent="0.2">
      <c r="A143" s="16" t="s">
        <v>155</v>
      </c>
      <c r="B143" s="13">
        <v>21.92</v>
      </c>
      <c r="C143" s="13"/>
      <c r="D143" s="13"/>
      <c r="E143" s="13"/>
      <c r="F143" s="13"/>
    </row>
    <row r="144" spans="1:6" x14ac:dyDescent="0.2">
      <c r="A144" s="16" t="s">
        <v>156</v>
      </c>
      <c r="B144" s="13">
        <v>21.3</v>
      </c>
      <c r="C144" s="13"/>
      <c r="D144" s="13"/>
      <c r="E144" s="13"/>
      <c r="F144" s="13"/>
    </row>
    <row r="145" spans="1:6" x14ac:dyDescent="0.2">
      <c r="A145" s="16" t="s">
        <v>157</v>
      </c>
      <c r="B145" s="13">
        <v>21.4</v>
      </c>
      <c r="C145" s="13"/>
      <c r="D145" s="13"/>
      <c r="E145" s="13"/>
      <c r="F145" s="13"/>
    </row>
    <row r="146" spans="1:6" x14ac:dyDescent="0.2">
      <c r="A146" s="16" t="s">
        <v>158</v>
      </c>
      <c r="B146" s="13">
        <v>21.6</v>
      </c>
      <c r="C146" s="13"/>
      <c r="D146" s="13"/>
      <c r="E146" s="13"/>
      <c r="F146" s="13"/>
    </row>
    <row r="147" spans="1:6" x14ac:dyDescent="0.2">
      <c r="A147" s="16" t="s">
        <v>159</v>
      </c>
      <c r="B147" s="13">
        <v>21.56</v>
      </c>
      <c r="C147" s="13"/>
      <c r="D147" s="13"/>
      <c r="E147" s="13"/>
      <c r="F147" s="13"/>
    </row>
    <row r="148" spans="1:6" x14ac:dyDescent="0.2">
      <c r="A148" s="16" t="s">
        <v>160</v>
      </c>
      <c r="B148" s="13">
        <v>22.21</v>
      </c>
      <c r="C148" s="13"/>
      <c r="D148" s="13"/>
      <c r="E148" s="13"/>
      <c r="F148" s="13"/>
    </row>
    <row r="149" spans="1:6" x14ac:dyDescent="0.2">
      <c r="A149" s="16" t="s">
        <v>161</v>
      </c>
      <c r="B149" s="13">
        <v>21.83</v>
      </c>
      <c r="C149" s="13"/>
      <c r="D149" s="13"/>
      <c r="E149" s="13"/>
      <c r="F149" s="13"/>
    </row>
    <row r="150" spans="1:6" x14ac:dyDescent="0.2">
      <c r="A150" s="16" t="s">
        <v>162</v>
      </c>
      <c r="B150" s="13">
        <v>21.11</v>
      </c>
      <c r="C150" s="13"/>
      <c r="D150" s="13"/>
      <c r="E150" s="13"/>
      <c r="F150" s="13"/>
    </row>
    <row r="151" spans="1:6" x14ac:dyDescent="0.2">
      <c r="A151" s="16" t="s">
        <v>163</v>
      </c>
      <c r="B151" s="13">
        <v>20.350000000000001</v>
      </c>
      <c r="C151" s="13"/>
      <c r="D151" s="13"/>
      <c r="E151" s="13"/>
      <c r="F151" s="13"/>
    </row>
    <row r="152" spans="1:6" x14ac:dyDescent="0.2">
      <c r="A152" s="16" t="s">
        <v>164</v>
      </c>
      <c r="B152" s="13">
        <v>20.47</v>
      </c>
      <c r="C152" s="13"/>
      <c r="D152" s="13"/>
      <c r="E152" s="13"/>
      <c r="F152" s="13"/>
    </row>
    <row r="153" spans="1:6" x14ac:dyDescent="0.2">
      <c r="A153" s="16" t="s">
        <v>165</v>
      </c>
      <c r="B153" s="13">
        <v>20.329999999999998</v>
      </c>
      <c r="C153" s="13"/>
      <c r="D153" s="13"/>
      <c r="E153" s="13"/>
      <c r="F153" s="13"/>
    </row>
    <row r="154" spans="1:6" x14ac:dyDescent="0.2">
      <c r="A154" s="16" t="s">
        <v>166</v>
      </c>
      <c r="B154" s="13">
        <v>20.350000000000001</v>
      </c>
      <c r="C154" s="13"/>
      <c r="D154" s="13"/>
      <c r="E154" s="13"/>
      <c r="F154" s="13"/>
    </row>
    <row r="155" spans="1:6" x14ac:dyDescent="0.2">
      <c r="A155" s="16" t="s">
        <v>167</v>
      </c>
      <c r="B155" s="13">
        <v>20.239999999999998</v>
      </c>
      <c r="C155" s="13"/>
      <c r="D155" s="13"/>
      <c r="E155" s="13"/>
      <c r="F155" s="13"/>
    </row>
    <row r="156" spans="1:6" x14ac:dyDescent="0.2">
      <c r="A156" s="16" t="s">
        <v>168</v>
      </c>
      <c r="B156" s="13">
        <v>20.54</v>
      </c>
      <c r="C156" s="13"/>
      <c r="D156" s="13"/>
      <c r="E156" s="13"/>
      <c r="F156" s="13"/>
    </row>
    <row r="157" spans="1:6" x14ac:dyDescent="0.2">
      <c r="A157" s="16" t="s">
        <v>169</v>
      </c>
      <c r="B157" s="13">
        <v>20.239999999999998</v>
      </c>
      <c r="C157" s="13"/>
      <c r="D157" s="13"/>
      <c r="E157" s="13"/>
      <c r="F157" s="13"/>
    </row>
    <row r="158" spans="1:6" x14ac:dyDescent="0.2">
      <c r="A158" s="16" t="s">
        <v>170</v>
      </c>
      <c r="B158" s="13">
        <v>20.41</v>
      </c>
      <c r="C158" s="13"/>
      <c r="D158" s="13"/>
      <c r="E158" s="13"/>
      <c r="F158" s="13"/>
    </row>
    <row r="159" spans="1:6" x14ac:dyDescent="0.2">
      <c r="A159" s="16" t="s">
        <v>171</v>
      </c>
      <c r="B159" s="13">
        <v>20.48</v>
      </c>
      <c r="C159" s="13"/>
      <c r="D159" s="13"/>
      <c r="E159" s="13"/>
      <c r="F159" s="13"/>
    </row>
    <row r="160" spans="1:6" x14ac:dyDescent="0.2">
      <c r="A160" s="16" t="s">
        <v>172</v>
      </c>
      <c r="B160" s="13">
        <v>20.399999999999999</v>
      </c>
      <c r="C160" s="13"/>
      <c r="D160" s="13"/>
      <c r="E160" s="13"/>
      <c r="F160" s="13"/>
    </row>
    <row r="161" spans="1:6" x14ac:dyDescent="0.2">
      <c r="A161" s="16" t="s">
        <v>173</v>
      </c>
      <c r="B161" s="13">
        <v>20.25</v>
      </c>
      <c r="C161" s="13"/>
      <c r="D161" s="13"/>
      <c r="E161" s="13"/>
      <c r="F161" s="13"/>
    </row>
    <row r="162" spans="1:6" x14ac:dyDescent="0.2">
      <c r="A162" s="16" t="s">
        <v>174</v>
      </c>
      <c r="B162" s="13">
        <v>20.21</v>
      </c>
      <c r="C162" s="13"/>
      <c r="D162" s="13"/>
      <c r="E162" s="13"/>
      <c r="F162" s="13"/>
    </row>
    <row r="163" spans="1:6" x14ac:dyDescent="0.2">
      <c r="A163" s="16" t="s">
        <v>175</v>
      </c>
      <c r="B163" s="13">
        <v>20.12</v>
      </c>
      <c r="C163" s="13"/>
      <c r="D163" s="13"/>
      <c r="E163" s="13"/>
      <c r="F163" s="13"/>
    </row>
    <row r="164" spans="1:6" x14ac:dyDescent="0.2">
      <c r="A164" s="16" t="s">
        <v>176</v>
      </c>
      <c r="B164" s="13">
        <v>19.600000000000001</v>
      </c>
      <c r="C164" s="13"/>
      <c r="D164" s="13"/>
      <c r="E164" s="13"/>
      <c r="F164" s="13"/>
    </row>
    <row r="165" spans="1:6" x14ac:dyDescent="0.2">
      <c r="A165" s="16" t="s">
        <v>177</v>
      </c>
      <c r="B165" s="13">
        <v>19.97</v>
      </c>
      <c r="C165" s="13"/>
      <c r="D165" s="13"/>
      <c r="E165" s="13"/>
      <c r="F165" s="13"/>
    </row>
    <row r="166" spans="1:6" x14ac:dyDescent="0.2">
      <c r="A166" s="16" t="s">
        <v>178</v>
      </c>
      <c r="B166" s="13">
        <v>19.649999999999999</v>
      </c>
      <c r="C166" s="13"/>
      <c r="D166" s="13"/>
      <c r="E166" s="13"/>
      <c r="F166" s="13"/>
    </row>
    <row r="167" spans="1:6" x14ac:dyDescent="0.2">
      <c r="A167" s="16" t="s">
        <v>179</v>
      </c>
      <c r="B167" s="13">
        <v>19.329999999999998</v>
      </c>
      <c r="C167" s="13"/>
      <c r="D167" s="13"/>
      <c r="E167" s="13"/>
      <c r="F167" s="13"/>
    </row>
    <row r="168" spans="1:6" x14ac:dyDescent="0.2">
      <c r="A168" s="16" t="s">
        <v>180</v>
      </c>
      <c r="B168" s="13">
        <v>20.05</v>
      </c>
      <c r="C168" s="13"/>
      <c r="D168" s="13"/>
      <c r="E168" s="13"/>
      <c r="F168" s="13"/>
    </row>
    <row r="169" spans="1:6" x14ac:dyDescent="0.2">
      <c r="A169" s="16" t="s">
        <v>181</v>
      </c>
      <c r="B169" s="13">
        <v>20.47</v>
      </c>
      <c r="C169" s="13"/>
      <c r="D169" s="13"/>
      <c r="E169" s="13"/>
      <c r="F169" s="13"/>
    </row>
    <row r="170" spans="1:6" x14ac:dyDescent="0.2">
      <c r="A170" s="16" t="s">
        <v>182</v>
      </c>
      <c r="B170" s="13">
        <v>20.97</v>
      </c>
      <c r="C170" s="13"/>
      <c r="D170" s="13"/>
      <c r="E170" s="13"/>
      <c r="F170" s="13"/>
    </row>
    <row r="171" spans="1:6" x14ac:dyDescent="0.2">
      <c r="A171" s="16" t="s">
        <v>183</v>
      </c>
      <c r="B171" s="13">
        <v>21.52</v>
      </c>
      <c r="C171" s="13"/>
      <c r="D171" s="13"/>
      <c r="E171" s="13"/>
      <c r="F171" s="13"/>
    </row>
    <row r="172" spans="1:6" x14ac:dyDescent="0.2">
      <c r="A172" s="16" t="s">
        <v>184</v>
      </c>
      <c r="B172" s="13">
        <v>21.59</v>
      </c>
      <c r="C172" s="13"/>
      <c r="D172" s="13"/>
      <c r="E172" s="13"/>
      <c r="F172" s="13"/>
    </row>
    <row r="173" spans="1:6" x14ac:dyDescent="0.2">
      <c r="A173" s="16" t="s">
        <v>185</v>
      </c>
      <c r="B173" s="13">
        <v>21.19</v>
      </c>
      <c r="C173" s="13"/>
      <c r="D173" s="13"/>
      <c r="E173" s="13"/>
      <c r="F173" s="13"/>
    </row>
    <row r="174" spans="1:6" x14ac:dyDescent="0.2">
      <c r="A174" s="16" t="s">
        <v>186</v>
      </c>
      <c r="B174" s="13">
        <v>21.05</v>
      </c>
      <c r="C174" s="13"/>
      <c r="D174" s="13"/>
      <c r="E174" s="13"/>
      <c r="F174" s="13"/>
    </row>
    <row r="175" spans="1:6" x14ac:dyDescent="0.2">
      <c r="A175" s="16" t="s">
        <v>187</v>
      </c>
      <c r="B175" s="13">
        <v>20.81</v>
      </c>
      <c r="C175" s="13"/>
      <c r="D175" s="13"/>
      <c r="E175" s="13"/>
      <c r="F175" s="13"/>
    </row>
    <row r="176" spans="1:6" x14ac:dyDescent="0.2">
      <c r="A176" s="16" t="s">
        <v>188</v>
      </c>
      <c r="B176" s="13">
        <v>20.7</v>
      </c>
      <c r="C176" s="13"/>
      <c r="D176" s="13"/>
      <c r="E176" s="13"/>
      <c r="F176" s="13"/>
    </row>
    <row r="177" spans="1:6" x14ac:dyDescent="0.2">
      <c r="A177" s="16" t="s">
        <v>189</v>
      </c>
      <c r="B177" s="13">
        <v>20.66</v>
      </c>
      <c r="C177" s="13"/>
      <c r="D177" s="13"/>
      <c r="E177" s="13"/>
      <c r="F177" s="13"/>
    </row>
    <row r="178" spans="1:6" x14ac:dyDescent="0.2">
      <c r="A178" s="16" t="s">
        <v>190</v>
      </c>
      <c r="B178" s="13">
        <v>20.89</v>
      </c>
      <c r="C178" s="13"/>
      <c r="D178" s="13"/>
      <c r="E178" s="13"/>
      <c r="F178" s="13"/>
    </row>
    <row r="179" spans="1:6" x14ac:dyDescent="0.2">
      <c r="A179" s="16" t="s">
        <v>191</v>
      </c>
      <c r="B179" s="13">
        <v>20.53</v>
      </c>
      <c r="C179" s="13"/>
      <c r="D179" s="13"/>
      <c r="E179" s="13"/>
      <c r="F179" s="13"/>
    </row>
    <row r="180" spans="1:6" x14ac:dyDescent="0.2">
      <c r="A180" s="16" t="s">
        <v>192</v>
      </c>
      <c r="B180" s="13">
        <v>20.66</v>
      </c>
      <c r="C180" s="13"/>
      <c r="D180" s="13"/>
      <c r="E180" s="13"/>
      <c r="F180" s="13"/>
    </row>
    <row r="181" spans="1:6" x14ac:dyDescent="0.2">
      <c r="A181" s="16" t="s">
        <v>193</v>
      </c>
      <c r="B181" s="13">
        <v>20.7</v>
      </c>
      <c r="C181" s="13"/>
      <c r="D181" s="13"/>
      <c r="E181" s="13"/>
      <c r="F181" s="13"/>
    </row>
    <row r="182" spans="1:6" x14ac:dyDescent="0.2">
      <c r="A182" s="16" t="s">
        <v>194</v>
      </c>
      <c r="B182" s="13">
        <v>20.85</v>
      </c>
      <c r="C182" s="13"/>
      <c r="D182" s="13"/>
      <c r="E182" s="13"/>
      <c r="F182" s="13"/>
    </row>
    <row r="183" spans="1:6" x14ac:dyDescent="0.2">
      <c r="A183" s="16" t="s">
        <v>195</v>
      </c>
      <c r="B183" s="13">
        <v>20.76</v>
      </c>
      <c r="C183" s="13"/>
      <c r="D183" s="13"/>
      <c r="E183" s="13"/>
      <c r="F183" s="13"/>
    </row>
    <row r="184" spans="1:6" x14ac:dyDescent="0.2">
      <c r="A184" s="16" t="s">
        <v>196</v>
      </c>
      <c r="B184" s="13">
        <v>21.43</v>
      </c>
      <c r="C184" s="13"/>
      <c r="D184" s="13"/>
      <c r="E184" s="13"/>
      <c r="F184" s="13"/>
    </row>
    <row r="185" spans="1:6" x14ac:dyDescent="0.2">
      <c r="A185" s="16" t="s">
        <v>197</v>
      </c>
      <c r="B185" s="13">
        <v>21.91</v>
      </c>
      <c r="C185" s="13"/>
      <c r="D185" s="13"/>
      <c r="E185" s="13"/>
      <c r="F185" s="13"/>
    </row>
    <row r="186" spans="1:6" x14ac:dyDescent="0.2">
      <c r="A186" s="16" t="s">
        <v>198</v>
      </c>
      <c r="B186" s="13">
        <v>21.48</v>
      </c>
      <c r="C186" s="13"/>
      <c r="D186" s="13"/>
      <c r="E186" s="13"/>
      <c r="F186" s="13"/>
    </row>
    <row r="187" spans="1:6" x14ac:dyDescent="0.2">
      <c r="A187" s="16" t="s">
        <v>199</v>
      </c>
      <c r="B187" s="13">
        <v>21.87</v>
      </c>
      <c r="C187" s="13"/>
      <c r="D187" s="13"/>
      <c r="E187" s="13"/>
      <c r="F187" s="13"/>
    </row>
    <row r="188" spans="1:6" x14ac:dyDescent="0.2">
      <c r="A188" s="16" t="s">
        <v>200</v>
      </c>
      <c r="B188" s="13">
        <v>21.95</v>
      </c>
      <c r="C188" s="13"/>
      <c r="D188" s="13"/>
      <c r="E188" s="13"/>
      <c r="F188" s="13"/>
    </row>
    <row r="189" spans="1:6" x14ac:dyDescent="0.2">
      <c r="A189" s="16" t="s">
        <v>201</v>
      </c>
      <c r="B189" s="13">
        <v>22.54</v>
      </c>
      <c r="C189" s="13"/>
      <c r="D189" s="13"/>
      <c r="E189" s="13"/>
      <c r="F189" s="13"/>
    </row>
    <row r="190" spans="1:6" x14ac:dyDescent="0.2">
      <c r="A190" s="16" t="s">
        <v>202</v>
      </c>
      <c r="B190" s="13">
        <v>22.45</v>
      </c>
      <c r="C190" s="13"/>
      <c r="D190" s="13"/>
      <c r="E190" s="13"/>
      <c r="F190" s="13"/>
    </row>
    <row r="191" spans="1:6" x14ac:dyDescent="0.2">
      <c r="A191" s="16" t="s">
        <v>203</v>
      </c>
      <c r="B191" s="13">
        <v>22.35</v>
      </c>
      <c r="C191" s="13"/>
      <c r="D191" s="13"/>
      <c r="E191" s="13"/>
      <c r="F191" s="13"/>
    </row>
    <row r="192" spans="1:6" x14ac:dyDescent="0.2">
      <c r="A192" s="16" t="s">
        <v>204</v>
      </c>
      <c r="B192" s="13">
        <v>22.21</v>
      </c>
      <c r="C192" s="13"/>
      <c r="D192" s="13"/>
      <c r="E192" s="13"/>
      <c r="F192" s="13"/>
    </row>
    <row r="193" spans="1:6" x14ac:dyDescent="0.2">
      <c r="A193" s="16" t="s">
        <v>205</v>
      </c>
      <c r="B193" s="13">
        <v>21.68</v>
      </c>
      <c r="C193" s="13"/>
      <c r="D193" s="13"/>
      <c r="E193" s="13"/>
      <c r="F193" s="13"/>
    </row>
    <row r="194" spans="1:6" x14ac:dyDescent="0.2">
      <c r="A194" s="16" t="s">
        <v>206</v>
      </c>
      <c r="B194" s="13">
        <v>21.61</v>
      </c>
      <c r="C194" s="13"/>
      <c r="D194" s="13"/>
      <c r="E194" s="13"/>
      <c r="F194" s="13"/>
    </row>
    <row r="195" spans="1:6" x14ac:dyDescent="0.2">
      <c r="A195" s="16" t="s">
        <v>207</v>
      </c>
      <c r="B195" s="13">
        <v>21.24</v>
      </c>
      <c r="C195" s="13"/>
      <c r="D195" s="13"/>
      <c r="E195" s="13"/>
      <c r="F195" s="13"/>
    </row>
    <row r="196" spans="1:6" x14ac:dyDescent="0.2">
      <c r="A196" s="16" t="s">
        <v>208</v>
      </c>
      <c r="B196" s="13">
        <v>21.67</v>
      </c>
      <c r="C196" s="13"/>
      <c r="D196" s="13"/>
      <c r="E196" s="13"/>
      <c r="F196" s="13"/>
    </row>
    <row r="197" spans="1:6" x14ac:dyDescent="0.2">
      <c r="A197" s="16" t="s">
        <v>209</v>
      </c>
      <c r="B197" s="13">
        <v>21.62</v>
      </c>
      <c r="C197" s="13"/>
      <c r="D197" s="13"/>
      <c r="E197" s="13"/>
      <c r="F197" s="13"/>
    </row>
    <row r="198" spans="1:6" x14ac:dyDescent="0.2">
      <c r="A198" s="16" t="s">
        <v>210</v>
      </c>
      <c r="B198" s="13">
        <v>21.92</v>
      </c>
      <c r="C198" s="13"/>
      <c r="D198" s="13"/>
      <c r="E198" s="13"/>
      <c r="F198" s="13"/>
    </row>
    <row r="199" spans="1:6" x14ac:dyDescent="0.2">
      <c r="A199" s="16" t="s">
        <v>211</v>
      </c>
      <c r="B199" s="13">
        <v>21.85</v>
      </c>
      <c r="C199" s="13"/>
      <c r="D199" s="13"/>
      <c r="E199" s="13"/>
      <c r="F199" s="13"/>
    </row>
    <row r="200" spans="1:6" x14ac:dyDescent="0.2">
      <c r="A200" s="16" t="s">
        <v>212</v>
      </c>
      <c r="B200" s="13">
        <v>21.89</v>
      </c>
      <c r="C200" s="13"/>
      <c r="D200" s="13"/>
      <c r="E200" s="13"/>
      <c r="F200" s="13"/>
    </row>
    <row r="201" spans="1:6" x14ac:dyDescent="0.2">
      <c r="A201" s="16" t="s">
        <v>213</v>
      </c>
      <c r="B201" s="13">
        <v>21.51</v>
      </c>
      <c r="C201" s="13"/>
      <c r="D201" s="13"/>
      <c r="E201" s="13"/>
      <c r="F201" s="13"/>
    </row>
    <row r="202" spans="1:6" x14ac:dyDescent="0.2">
      <c r="A202" s="16" t="s">
        <v>214</v>
      </c>
      <c r="B202" s="13">
        <v>21.52</v>
      </c>
      <c r="C202" s="13"/>
      <c r="D202" s="13"/>
      <c r="E202" s="13"/>
      <c r="F202" s="13"/>
    </row>
    <row r="203" spans="1:6" x14ac:dyDescent="0.2">
      <c r="A203" s="16" t="s">
        <v>215</v>
      </c>
      <c r="B203" s="13">
        <v>21.33</v>
      </c>
      <c r="C203" s="13"/>
      <c r="D203" s="13"/>
      <c r="E203" s="13"/>
      <c r="F203" s="13"/>
    </row>
    <row r="204" spans="1:6" x14ac:dyDescent="0.2">
      <c r="A204" s="16" t="s">
        <v>216</v>
      </c>
      <c r="B204" s="13">
        <v>21.62</v>
      </c>
      <c r="C204" s="13"/>
      <c r="D204" s="13"/>
      <c r="E204" s="13"/>
      <c r="F204" s="13"/>
    </row>
    <row r="205" spans="1:6" x14ac:dyDescent="0.2">
      <c r="A205" s="16" t="s">
        <v>217</v>
      </c>
      <c r="B205" s="13">
        <v>17.2</v>
      </c>
      <c r="C205" s="13"/>
      <c r="D205" s="13"/>
      <c r="E205" s="13"/>
      <c r="F205" s="13"/>
    </row>
    <row r="206" spans="1:6" x14ac:dyDescent="0.2">
      <c r="A206" s="16" t="s">
        <v>218</v>
      </c>
      <c r="B206" s="13">
        <v>17.309999999999999</v>
      </c>
      <c r="C206" s="13"/>
      <c r="D206" s="13"/>
      <c r="E206" s="13"/>
      <c r="F206" s="13"/>
    </row>
    <row r="207" spans="1:6" x14ac:dyDescent="0.2">
      <c r="A207" s="16" t="s">
        <v>219</v>
      </c>
      <c r="B207" s="13">
        <v>16.87</v>
      </c>
      <c r="C207" s="13"/>
      <c r="D207" s="13"/>
      <c r="E207" s="13"/>
      <c r="F207" s="13"/>
    </row>
    <row r="208" spans="1:6" x14ac:dyDescent="0.2">
      <c r="A208" s="16" t="s">
        <v>220</v>
      </c>
      <c r="B208" s="13">
        <v>16.37</v>
      </c>
      <c r="C208" s="13"/>
      <c r="D208" s="13"/>
      <c r="E208" s="13"/>
      <c r="F208" s="13"/>
    </row>
    <row r="209" spans="1:6" x14ac:dyDescent="0.2">
      <c r="A209" s="16" t="s">
        <v>221</v>
      </c>
      <c r="B209" s="13">
        <v>15.86</v>
      </c>
      <c r="C209" s="13"/>
      <c r="D209" s="13"/>
      <c r="E209" s="13"/>
      <c r="F209" s="13"/>
    </row>
    <row r="210" spans="1:6" x14ac:dyDescent="0.2">
      <c r="A210" s="16" t="s">
        <v>222</v>
      </c>
      <c r="B210" s="13">
        <v>15.89</v>
      </c>
      <c r="C210" s="13"/>
      <c r="D210" s="13"/>
      <c r="E210" s="13"/>
      <c r="F210" s="13"/>
    </row>
    <row r="211" spans="1:6" x14ac:dyDescent="0.2">
      <c r="A211" s="16" t="s">
        <v>223</v>
      </c>
      <c r="B211" s="13">
        <v>15.68</v>
      </c>
      <c r="C211" s="13"/>
      <c r="D211" s="13"/>
      <c r="E211" s="13"/>
      <c r="F211" s="13"/>
    </row>
    <row r="212" spans="1:6" x14ac:dyDescent="0.2">
      <c r="A212" s="16" t="s">
        <v>224</v>
      </c>
      <c r="B212" s="13">
        <v>15.67</v>
      </c>
      <c r="C212" s="13"/>
      <c r="D212" s="13"/>
      <c r="E212" s="13"/>
      <c r="F212" s="13"/>
    </row>
    <row r="213" spans="1:6" x14ac:dyDescent="0.2">
      <c r="A213" s="16" t="s">
        <v>225</v>
      </c>
      <c r="B213" s="13">
        <v>15.9</v>
      </c>
      <c r="C213" s="13"/>
      <c r="D213" s="13"/>
      <c r="E213" s="13"/>
      <c r="F213" s="13"/>
    </row>
    <row r="214" spans="1:6" x14ac:dyDescent="0.2">
      <c r="A214" s="16" t="s">
        <v>226</v>
      </c>
      <c r="B214" s="13">
        <v>15.98</v>
      </c>
      <c r="C214" s="13"/>
      <c r="D214" s="13"/>
      <c r="E214" s="13"/>
      <c r="F214" s="13"/>
    </row>
    <row r="215" spans="1:6" x14ac:dyDescent="0.2">
      <c r="A215" s="16" t="s">
        <v>227</v>
      </c>
      <c r="B215" s="13">
        <v>15.73</v>
      </c>
      <c r="C215" s="13"/>
      <c r="D215" s="13"/>
      <c r="E215" s="13"/>
      <c r="F215" s="13"/>
    </row>
    <row r="216" spans="1:6" x14ac:dyDescent="0.2">
      <c r="A216" s="16" t="s">
        <v>228</v>
      </c>
      <c r="B216" s="13">
        <v>15.53</v>
      </c>
      <c r="C216" s="13"/>
      <c r="D216" s="13"/>
      <c r="E216" s="13"/>
      <c r="F216" s="13"/>
    </row>
    <row r="217" spans="1:6" x14ac:dyDescent="0.2">
      <c r="A217" s="16" t="s">
        <v>229</v>
      </c>
      <c r="B217" s="13">
        <v>15.65</v>
      </c>
      <c r="C217" s="13"/>
      <c r="D217" s="13"/>
      <c r="E217" s="13"/>
      <c r="F217" s="13"/>
    </row>
    <row r="218" spans="1:6" x14ac:dyDescent="0.2">
      <c r="A218" s="16" t="s">
        <v>230</v>
      </c>
      <c r="B218" s="13">
        <v>15.8</v>
      </c>
      <c r="C218" s="13"/>
      <c r="D218" s="13"/>
      <c r="E218" s="13"/>
      <c r="F218" s="13"/>
    </row>
    <row r="219" spans="1:6" x14ac:dyDescent="0.2">
      <c r="A219" s="16" t="s">
        <v>231</v>
      </c>
      <c r="B219" s="13">
        <v>16.12</v>
      </c>
      <c r="C219" s="13"/>
      <c r="D219" s="13"/>
      <c r="E219" s="13"/>
      <c r="F219" s="13"/>
    </row>
    <row r="220" spans="1:6" x14ac:dyDescent="0.2">
      <c r="A220" s="16" t="s">
        <v>232</v>
      </c>
      <c r="B220" s="13">
        <v>16.25</v>
      </c>
      <c r="C220" s="13"/>
      <c r="D220" s="13"/>
      <c r="E220" s="13"/>
      <c r="F220" s="13"/>
    </row>
    <row r="221" spans="1:6" x14ac:dyDescent="0.2">
      <c r="A221" s="16" t="s">
        <v>233</v>
      </c>
      <c r="B221" s="13">
        <v>16.3</v>
      </c>
      <c r="C221" s="13"/>
      <c r="D221" s="13"/>
      <c r="E221" s="13"/>
      <c r="F221" s="13"/>
    </row>
    <row r="222" spans="1:6" x14ac:dyDescent="0.2">
      <c r="A222" s="16" t="s">
        <v>234</v>
      </c>
      <c r="B222" s="13">
        <v>16.43</v>
      </c>
      <c r="C222" s="13"/>
      <c r="D222" s="13"/>
      <c r="E222" s="13"/>
      <c r="F222" s="13"/>
    </row>
    <row r="223" spans="1:6" x14ac:dyDescent="0.2">
      <c r="A223" s="16" t="s">
        <v>235</v>
      </c>
      <c r="B223" s="13">
        <v>16.63</v>
      </c>
      <c r="C223" s="13"/>
      <c r="D223" s="13"/>
      <c r="E223" s="13"/>
      <c r="F223" s="13"/>
    </row>
    <row r="224" spans="1:6" x14ac:dyDescent="0.2">
      <c r="A224" s="16" t="s">
        <v>236</v>
      </c>
      <c r="B224" s="13">
        <v>17.39</v>
      </c>
      <c r="C224" s="13"/>
      <c r="D224" s="13"/>
      <c r="E224" s="13"/>
      <c r="F224" s="13"/>
    </row>
    <row r="225" spans="1:6" x14ac:dyDescent="0.2">
      <c r="A225" s="16" t="s">
        <v>237</v>
      </c>
      <c r="B225" s="13">
        <v>17.329999999999998</v>
      </c>
      <c r="C225" s="13"/>
      <c r="D225" s="13"/>
      <c r="E225" s="13"/>
      <c r="F225" s="13"/>
    </row>
    <row r="226" spans="1:6" x14ac:dyDescent="0.2">
      <c r="A226" s="16" t="s">
        <v>238</v>
      </c>
      <c r="B226" s="13">
        <v>17.16</v>
      </c>
      <c r="C226" s="13"/>
      <c r="D226" s="13"/>
      <c r="E226" s="13"/>
      <c r="F226" s="13"/>
    </row>
    <row r="227" spans="1:6" x14ac:dyDescent="0.2">
      <c r="A227" s="16" t="s">
        <v>239</v>
      </c>
      <c r="B227" s="13">
        <v>17.48</v>
      </c>
      <c r="C227" s="13"/>
      <c r="D227" s="13"/>
      <c r="E227" s="13"/>
      <c r="F227" s="13"/>
    </row>
    <row r="228" spans="1:6" x14ac:dyDescent="0.2">
      <c r="A228" s="16" t="s">
        <v>240</v>
      </c>
      <c r="B228" s="13">
        <v>17.21</v>
      </c>
      <c r="C228" s="13"/>
      <c r="D228" s="13"/>
      <c r="E228" s="13"/>
      <c r="F228" s="13"/>
    </row>
    <row r="229" spans="1:6" x14ac:dyDescent="0.2">
      <c r="A229" s="16" t="s">
        <v>241</v>
      </c>
      <c r="B229" s="13">
        <v>16.98</v>
      </c>
      <c r="C229" s="13"/>
      <c r="D229" s="13"/>
      <c r="E229" s="13"/>
      <c r="F229" s="13"/>
    </row>
    <row r="230" spans="1:6" x14ac:dyDescent="0.2">
      <c r="A230" s="16" t="s">
        <v>242</v>
      </c>
      <c r="B230" s="13">
        <v>17</v>
      </c>
      <c r="C230" s="13"/>
      <c r="D230" s="13"/>
      <c r="E230" s="13"/>
      <c r="F230" s="13"/>
    </row>
    <row r="231" spans="1:6" x14ac:dyDescent="0.2">
      <c r="A231" s="16" t="s">
        <v>243</v>
      </c>
      <c r="B231" s="13">
        <v>16.93</v>
      </c>
      <c r="C231" s="13"/>
      <c r="D231" s="13"/>
      <c r="E231" s="13"/>
      <c r="F231" s="13"/>
    </row>
    <row r="232" spans="1:6" x14ac:dyDescent="0.2">
      <c r="A232" s="16" t="s">
        <v>244</v>
      </c>
      <c r="B232" s="13">
        <v>16.7</v>
      </c>
      <c r="C232" s="13"/>
      <c r="D232" s="13"/>
      <c r="E232" s="13"/>
      <c r="F232" s="13"/>
    </row>
    <row r="233" spans="1:6" x14ac:dyDescent="0.2">
      <c r="A233" s="16" t="s">
        <v>245</v>
      </c>
      <c r="B233" s="13">
        <v>17.13</v>
      </c>
      <c r="C233" s="13"/>
      <c r="D233" s="13"/>
      <c r="E233" s="13"/>
      <c r="F233" s="13"/>
    </row>
    <row r="234" spans="1:6" x14ac:dyDescent="0.2">
      <c r="A234" s="16" t="s">
        <v>246</v>
      </c>
      <c r="B234" s="13">
        <v>17.39</v>
      </c>
      <c r="C234" s="13"/>
      <c r="D234" s="13"/>
      <c r="E234" s="13"/>
      <c r="F234" s="13"/>
    </row>
    <row r="235" spans="1:6" x14ac:dyDescent="0.2">
      <c r="A235" s="16" t="s">
        <v>247</v>
      </c>
      <c r="B235" s="13">
        <v>17.510000000000002</v>
      </c>
      <c r="C235" s="13"/>
      <c r="D235" s="13"/>
      <c r="E235" s="13"/>
      <c r="F235" s="13"/>
    </row>
    <row r="236" spans="1:6" x14ac:dyDescent="0.2">
      <c r="A236" s="16" t="s">
        <v>248</v>
      </c>
      <c r="B236" s="13">
        <v>17.329999999999998</v>
      </c>
      <c r="C236" s="13"/>
      <c r="D236" s="13"/>
      <c r="E236" s="13"/>
      <c r="F236" s="13"/>
    </row>
    <row r="237" spans="1:6" x14ac:dyDescent="0.2">
      <c r="A237" s="16" t="s">
        <v>249</v>
      </c>
      <c r="B237" s="13">
        <v>17.059999999999999</v>
      </c>
      <c r="C237" s="13"/>
      <c r="D237" s="13"/>
      <c r="E237" s="13"/>
      <c r="F237" s="13"/>
    </row>
    <row r="238" spans="1:6" x14ac:dyDescent="0.2">
      <c r="A238" s="16" t="s">
        <v>250</v>
      </c>
      <c r="B238" s="13">
        <v>17</v>
      </c>
      <c r="C238" s="13"/>
      <c r="D238" s="13"/>
      <c r="E238" s="13"/>
      <c r="F238" s="13"/>
    </row>
    <row r="239" spans="1:6" x14ac:dyDescent="0.2">
      <c r="A239" s="16" t="s">
        <v>251</v>
      </c>
      <c r="B239" s="13">
        <v>16.87</v>
      </c>
      <c r="C239" s="13"/>
      <c r="D239" s="13"/>
      <c r="E239" s="13"/>
      <c r="F239" s="13"/>
    </row>
    <row r="240" spans="1:6" x14ac:dyDescent="0.2">
      <c r="A240" s="16" t="s">
        <v>252</v>
      </c>
      <c r="B240" s="13">
        <v>16.920000000000002</v>
      </c>
      <c r="C240" s="13"/>
      <c r="D240" s="13"/>
      <c r="E240" s="13"/>
      <c r="F240" s="13"/>
    </row>
    <row r="241" spans="1:6" x14ac:dyDescent="0.2">
      <c r="A241" s="16" t="s">
        <v>253</v>
      </c>
      <c r="B241" s="13">
        <v>16.690000000000001</v>
      </c>
      <c r="C241" s="13"/>
      <c r="D241" s="13"/>
      <c r="E241" s="13"/>
      <c r="F241" s="13"/>
    </row>
    <row r="242" spans="1:6" x14ac:dyDescent="0.2">
      <c r="A242" s="16" t="s">
        <v>254</v>
      </c>
      <c r="B242" s="13">
        <v>16.399999999999999</v>
      </c>
      <c r="C242" s="13"/>
      <c r="D242" s="13"/>
      <c r="E242" s="13"/>
      <c r="F242" s="13"/>
    </row>
    <row r="243" spans="1:6" x14ac:dyDescent="0.2">
      <c r="A243" s="16" t="s">
        <v>255</v>
      </c>
      <c r="B243" s="13">
        <v>16.23</v>
      </c>
      <c r="C243" s="13"/>
      <c r="D243" s="13"/>
      <c r="E243" s="13"/>
      <c r="F243" s="13"/>
    </row>
    <row r="244" spans="1:6" x14ac:dyDescent="0.2">
      <c r="A244" s="16" t="s">
        <v>256</v>
      </c>
      <c r="B244" s="13">
        <v>16.149999999999999</v>
      </c>
      <c r="C244" s="13"/>
      <c r="D244" s="13"/>
      <c r="E244" s="13"/>
      <c r="F244" s="13"/>
    </row>
    <row r="245" spans="1:6" x14ac:dyDescent="0.2">
      <c r="A245" s="16" t="s">
        <v>257</v>
      </c>
      <c r="B245" s="13">
        <v>16.36</v>
      </c>
      <c r="C245" s="13"/>
      <c r="D245" s="13"/>
      <c r="E245" s="13"/>
      <c r="F245" s="13"/>
    </row>
    <row r="246" spans="1:6" x14ac:dyDescent="0.2">
      <c r="A246" s="16" t="s">
        <v>258</v>
      </c>
      <c r="B246" s="13">
        <v>16.47</v>
      </c>
      <c r="C246" s="13"/>
      <c r="D246" s="13"/>
      <c r="E246" s="13"/>
      <c r="F246" s="13"/>
    </row>
    <row r="247" spans="1:6" x14ac:dyDescent="0.2">
      <c r="A247" s="16" t="s">
        <v>259</v>
      </c>
      <c r="B247" s="13">
        <v>16.649999999999999</v>
      </c>
      <c r="C247" s="13"/>
      <c r="D247" s="13"/>
      <c r="E247" s="13"/>
      <c r="F247" s="13"/>
    </row>
    <row r="248" spans="1:6" x14ac:dyDescent="0.2">
      <c r="A248" s="16" t="s">
        <v>260</v>
      </c>
      <c r="B248" s="13">
        <v>16.52</v>
      </c>
      <c r="C248" s="13"/>
      <c r="D248" s="13"/>
      <c r="E248" s="13"/>
      <c r="F248" s="13"/>
    </row>
    <row r="249" spans="1:6" x14ac:dyDescent="0.2">
      <c r="A249" s="16" t="s">
        <v>261</v>
      </c>
      <c r="B249" s="13">
        <v>16.3</v>
      </c>
      <c r="C249" s="13"/>
      <c r="D249" s="13"/>
      <c r="E249" s="13"/>
      <c r="F249" s="13"/>
    </row>
    <row r="250" spans="1:6" x14ac:dyDescent="0.2">
      <c r="A250" s="16" t="s">
        <v>262</v>
      </c>
      <c r="B250" s="13">
        <v>16.239999999999998</v>
      </c>
      <c r="C250" s="13"/>
      <c r="D250" s="13"/>
      <c r="E250" s="13"/>
      <c r="F250" s="13"/>
    </row>
    <row r="251" spans="1:6" x14ac:dyDescent="0.2">
      <c r="A251" s="16" t="s">
        <v>263</v>
      </c>
      <c r="B251" s="13">
        <v>16.489999999999998</v>
      </c>
      <c r="C251" s="13"/>
      <c r="D251" s="13"/>
      <c r="E251" s="13"/>
      <c r="F251" s="13"/>
    </row>
    <row r="252" spans="1:6" x14ac:dyDescent="0.2">
      <c r="A252" s="16" t="s">
        <v>264</v>
      </c>
      <c r="B252" s="13">
        <v>16.45</v>
      </c>
      <c r="C252" s="13"/>
      <c r="D252" s="13"/>
      <c r="E252" s="13"/>
      <c r="F252" s="13"/>
    </row>
    <row r="253" spans="1:6" x14ac:dyDescent="0.2">
      <c r="A253" s="16" t="s">
        <v>265</v>
      </c>
      <c r="B253" s="13">
        <v>16.72</v>
      </c>
      <c r="C253" s="13"/>
      <c r="D253" s="13"/>
      <c r="E253" s="13"/>
      <c r="F253" s="13"/>
    </row>
    <row r="254" spans="1:6" x14ac:dyDescent="0.2">
      <c r="A254" s="16" t="s">
        <v>266</v>
      </c>
      <c r="B254" s="13">
        <v>16.71</v>
      </c>
      <c r="C254" s="13"/>
      <c r="D254" s="13"/>
      <c r="E254" s="13"/>
      <c r="F254" s="13"/>
    </row>
    <row r="255" spans="1:6" x14ac:dyDescent="0.2">
      <c r="A255" s="16" t="s">
        <v>267</v>
      </c>
      <c r="B255" s="13">
        <v>16.68</v>
      </c>
      <c r="C255" s="13"/>
      <c r="D255" s="13"/>
      <c r="E255" s="13"/>
      <c r="F255" s="1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2F86-A649-7943-BA0C-1A760E3A5DF8}">
  <dimension ref="A1:L255"/>
  <sheetViews>
    <sheetView tabSelected="1" workbookViewId="0">
      <selection activeCell="M6" sqref="M6"/>
    </sheetView>
  </sheetViews>
  <sheetFormatPr baseColWidth="10" defaultColWidth="11.5" defaultRowHeight="18" x14ac:dyDescent="0.2"/>
  <cols>
    <col min="1" max="1" width="16.6640625" style="16" customWidth="1"/>
    <col min="2" max="2" width="16.6640625" style="17" customWidth="1"/>
    <col min="3" max="4" width="11.5" style="12"/>
    <col min="5" max="5" width="11.6640625" style="12" bestFit="1" customWidth="1"/>
    <col min="6" max="6" width="11.83203125" style="12" bestFit="1" customWidth="1"/>
    <col min="7" max="8" width="11.6640625" style="12" bestFit="1" customWidth="1"/>
    <col min="9" max="9" width="11.5" style="12"/>
    <col min="10" max="10" width="16.1640625" style="12" bestFit="1" customWidth="1"/>
    <col min="11" max="11" width="11.6640625" style="12" bestFit="1" customWidth="1"/>
    <col min="12" max="12" width="17.6640625" style="12" bestFit="1" customWidth="1"/>
  </cols>
  <sheetData>
    <row r="1" spans="1:12" ht="19" x14ac:dyDescent="0.25">
      <c r="A1" s="15" t="s">
        <v>2</v>
      </c>
      <c r="B1" s="10" t="s">
        <v>6</v>
      </c>
      <c r="D1" s="10" t="s">
        <v>2</v>
      </c>
      <c r="E1" s="10" t="s">
        <v>282</v>
      </c>
      <c r="F1" s="10" t="s">
        <v>283</v>
      </c>
      <c r="G1" s="10" t="s">
        <v>281</v>
      </c>
      <c r="H1" s="10" t="s">
        <v>284</v>
      </c>
      <c r="I1" s="10" t="s">
        <v>285</v>
      </c>
      <c r="J1" s="10" t="s">
        <v>286</v>
      </c>
      <c r="K1" s="10" t="s">
        <v>279</v>
      </c>
      <c r="L1" s="11" t="s">
        <v>289</v>
      </c>
    </row>
    <row r="2" spans="1:12" x14ac:dyDescent="0.2">
      <c r="A2" s="16" t="s">
        <v>14</v>
      </c>
      <c r="B2" s="13">
        <v>20.45</v>
      </c>
      <c r="D2" s="29" t="s">
        <v>26</v>
      </c>
      <c r="E2" s="30">
        <v>19.86</v>
      </c>
      <c r="F2" s="31">
        <f>H2*E2</f>
        <v>993</v>
      </c>
      <c r="G2" s="32">
        <v>1</v>
      </c>
      <c r="H2" s="33">
        <f>ROUNDDOWN(1000/E2,0)</f>
        <v>50</v>
      </c>
      <c r="I2" s="34" t="s">
        <v>287</v>
      </c>
      <c r="J2" s="30">
        <f>1000-F2</f>
        <v>7</v>
      </c>
      <c r="K2" s="21">
        <f>0.4</f>
        <v>0.4</v>
      </c>
      <c r="L2" s="35">
        <f>J9+K2*H6</f>
        <v>1797.7500000000002</v>
      </c>
    </row>
    <row r="3" spans="1:12" x14ac:dyDescent="0.2">
      <c r="A3" s="16" t="s">
        <v>15</v>
      </c>
      <c r="B3" s="13">
        <v>20.32</v>
      </c>
      <c r="D3" s="29" t="s">
        <v>64</v>
      </c>
      <c r="E3" s="30">
        <v>21.95</v>
      </c>
      <c r="F3" s="31">
        <f t="shared" ref="F3" si="0">H3*E3</f>
        <v>1097.5</v>
      </c>
      <c r="G3" s="32">
        <f>100%+(F3-F2)/F2</f>
        <v>1.1052366565961731</v>
      </c>
      <c r="H3" s="33">
        <f>H2</f>
        <v>50</v>
      </c>
      <c r="I3" s="36" t="s">
        <v>288</v>
      </c>
      <c r="J3" s="37">
        <f>F3+J2</f>
        <v>1104.5</v>
      </c>
      <c r="K3" s="27"/>
      <c r="L3" s="27"/>
    </row>
    <row r="4" spans="1:12" x14ac:dyDescent="0.2">
      <c r="A4" s="16" t="s">
        <v>16</v>
      </c>
      <c r="B4" s="13">
        <v>20.02</v>
      </c>
      <c r="D4" s="38" t="s">
        <v>120</v>
      </c>
      <c r="E4" s="39">
        <v>18.8</v>
      </c>
      <c r="F4" s="40">
        <f t="shared" ref="F4:F9" si="1">H4*E4</f>
        <v>1090.4000000000001</v>
      </c>
      <c r="G4" s="41">
        <v>1</v>
      </c>
      <c r="H4" s="42">
        <f>ROUNDDOWN(J3/E4,0)</f>
        <v>58</v>
      </c>
      <c r="I4" s="43" t="s">
        <v>287</v>
      </c>
      <c r="J4" s="44">
        <f>J3-F4</f>
        <v>14.099999999999909</v>
      </c>
      <c r="K4" s="45"/>
      <c r="L4" s="27"/>
    </row>
    <row r="5" spans="1:12" x14ac:dyDescent="0.2">
      <c r="A5" s="16" t="s">
        <v>17</v>
      </c>
      <c r="B5" s="13">
        <v>19.98</v>
      </c>
      <c r="D5" s="38" t="s">
        <v>154</v>
      </c>
      <c r="E5" s="39">
        <v>23.01</v>
      </c>
      <c r="F5" s="40">
        <f t="shared" si="1"/>
        <v>1334.5800000000002</v>
      </c>
      <c r="G5" s="41">
        <f>100%+(F5-F4)/F4</f>
        <v>1.223936170212766</v>
      </c>
      <c r="H5" s="42">
        <f>H4</f>
        <v>58</v>
      </c>
      <c r="I5" s="46" t="s">
        <v>288</v>
      </c>
      <c r="J5" s="37">
        <f>F5+J4</f>
        <v>1348.68</v>
      </c>
      <c r="K5" s="45"/>
      <c r="L5" s="27"/>
    </row>
    <row r="6" spans="1:12" x14ac:dyDescent="0.2">
      <c r="A6" s="16" t="s">
        <v>18</v>
      </c>
      <c r="B6" s="13">
        <v>19.86</v>
      </c>
      <c r="D6" s="47" t="s">
        <v>179</v>
      </c>
      <c r="E6" s="48">
        <v>19.329999999999998</v>
      </c>
      <c r="F6" s="49">
        <f t="shared" si="1"/>
        <v>1333.77</v>
      </c>
      <c r="G6" s="50">
        <v>1</v>
      </c>
      <c r="H6" s="51">
        <f>ROUNDDOWN(J5/E6,0)</f>
        <v>69</v>
      </c>
      <c r="I6" s="52" t="s">
        <v>287</v>
      </c>
      <c r="J6" s="48">
        <f>J5-F6</f>
        <v>14.910000000000082</v>
      </c>
      <c r="K6" s="45"/>
      <c r="L6" s="27"/>
    </row>
    <row r="7" spans="1:12" x14ac:dyDescent="0.2">
      <c r="A7" s="16" t="s">
        <v>19</v>
      </c>
      <c r="B7" s="13">
        <v>20.39</v>
      </c>
      <c r="D7" s="47" t="s">
        <v>201</v>
      </c>
      <c r="E7" s="48">
        <v>22.54</v>
      </c>
      <c r="F7" s="49">
        <f t="shared" si="1"/>
        <v>1555.26</v>
      </c>
      <c r="G7" s="50">
        <f>100%+(F7-F6)/F6</f>
        <v>1.1660631143300568</v>
      </c>
      <c r="H7" s="51">
        <f>H6</f>
        <v>69</v>
      </c>
      <c r="I7" s="53" t="s">
        <v>288</v>
      </c>
      <c r="J7" s="35">
        <f>F7+J6</f>
        <v>1570.17</v>
      </c>
      <c r="K7" s="45"/>
      <c r="L7" s="27"/>
    </row>
    <row r="8" spans="1:12" x14ac:dyDescent="0.2">
      <c r="A8" s="16" t="s">
        <v>20</v>
      </c>
      <c r="B8" s="13">
        <v>20.56</v>
      </c>
      <c r="D8" s="54" t="s">
        <v>228</v>
      </c>
      <c r="E8" s="55">
        <v>15.53</v>
      </c>
      <c r="F8" s="56">
        <f t="shared" si="1"/>
        <v>1568.53</v>
      </c>
      <c r="G8" s="57">
        <v>1</v>
      </c>
      <c r="H8" s="58">
        <f>ROUNDDOWN(J7/E8,0)</f>
        <v>101</v>
      </c>
      <c r="I8" s="59" t="s">
        <v>287</v>
      </c>
      <c r="J8" s="55">
        <f>J7-F8</f>
        <v>1.6400000000001</v>
      </c>
      <c r="K8" s="45"/>
      <c r="L8" s="27"/>
    </row>
    <row r="9" spans="1:12" x14ac:dyDescent="0.2">
      <c r="A9" s="16" t="s">
        <v>21</v>
      </c>
      <c r="B9" s="13">
        <v>20.7</v>
      </c>
      <c r="D9" s="54" t="s">
        <v>247</v>
      </c>
      <c r="E9" s="55">
        <v>17.510000000000002</v>
      </c>
      <c r="F9" s="56">
        <f t="shared" si="1"/>
        <v>1768.5100000000002</v>
      </c>
      <c r="G9" s="57">
        <f>100%+(F9-F8)/F8</f>
        <v>1.1274951706374761</v>
      </c>
      <c r="H9" s="58">
        <f>H8</f>
        <v>101</v>
      </c>
      <c r="I9" s="60" t="s">
        <v>288</v>
      </c>
      <c r="J9" s="35">
        <f>F9+J8</f>
        <v>1770.1500000000003</v>
      </c>
      <c r="K9" s="45"/>
      <c r="L9" s="27"/>
    </row>
    <row r="10" spans="1:12" x14ac:dyDescent="0.2">
      <c r="A10" s="16" t="s">
        <v>22</v>
      </c>
      <c r="B10" s="13">
        <v>20.43</v>
      </c>
      <c r="D10" s="61"/>
      <c r="E10" s="13"/>
      <c r="F10" s="62"/>
      <c r="G10" s="14"/>
      <c r="I10" s="63"/>
      <c r="J10" s="27"/>
      <c r="K10" s="45"/>
      <c r="L10" s="27"/>
    </row>
    <row r="11" spans="1:12" x14ac:dyDescent="0.2">
      <c r="A11" s="16" t="s">
        <v>23</v>
      </c>
      <c r="B11" s="13">
        <v>20.55</v>
      </c>
      <c r="D11" s="61"/>
      <c r="E11" s="13"/>
      <c r="F11" s="62"/>
      <c r="G11" s="14"/>
      <c r="I11" s="64"/>
      <c r="J11" s="27"/>
      <c r="K11" s="45"/>
      <c r="L11" s="27"/>
    </row>
    <row r="12" spans="1:12" x14ac:dyDescent="0.2">
      <c r="A12" s="16" t="s">
        <v>24</v>
      </c>
      <c r="B12" s="13">
        <v>20.55</v>
      </c>
    </row>
    <row r="13" spans="1:12" x14ac:dyDescent="0.2">
      <c r="A13" s="16" t="s">
        <v>25</v>
      </c>
      <c r="B13" s="13">
        <v>20.5</v>
      </c>
    </row>
    <row r="14" spans="1:12" x14ac:dyDescent="0.2">
      <c r="A14" s="16" t="s">
        <v>26</v>
      </c>
      <c r="B14" s="13">
        <v>20.63</v>
      </c>
    </row>
    <row r="15" spans="1:12" x14ac:dyDescent="0.2">
      <c r="A15" s="16" t="s">
        <v>27</v>
      </c>
      <c r="B15" s="13">
        <v>21.03</v>
      </c>
    </row>
    <row r="16" spans="1:12" x14ac:dyDescent="0.2">
      <c r="A16" s="16" t="s">
        <v>28</v>
      </c>
      <c r="B16" s="13">
        <v>21.15</v>
      </c>
    </row>
    <row r="17" spans="1:2" x14ac:dyDescent="0.2">
      <c r="A17" s="16" t="s">
        <v>29</v>
      </c>
      <c r="B17" s="13">
        <v>21.08</v>
      </c>
    </row>
    <row r="18" spans="1:2" x14ac:dyDescent="0.2">
      <c r="A18" s="16" t="s">
        <v>30</v>
      </c>
      <c r="B18" s="13">
        <v>21.04</v>
      </c>
    </row>
    <row r="19" spans="1:2" x14ac:dyDescent="0.2">
      <c r="A19" s="16" t="s">
        <v>31</v>
      </c>
      <c r="B19" s="13">
        <v>21.01</v>
      </c>
    </row>
    <row r="20" spans="1:2" x14ac:dyDescent="0.2">
      <c r="A20" s="16" t="s">
        <v>32</v>
      </c>
      <c r="B20" s="13">
        <v>21.18</v>
      </c>
    </row>
    <row r="21" spans="1:2" x14ac:dyDescent="0.2">
      <c r="A21" s="16" t="s">
        <v>33</v>
      </c>
      <c r="B21" s="13">
        <v>21.04</v>
      </c>
    </row>
    <row r="22" spans="1:2" x14ac:dyDescent="0.2">
      <c r="A22" s="16" t="s">
        <v>34</v>
      </c>
      <c r="B22" s="13">
        <v>21.29</v>
      </c>
    </row>
    <row r="23" spans="1:2" x14ac:dyDescent="0.2">
      <c r="A23" s="16" t="s">
        <v>35</v>
      </c>
      <c r="B23" s="13">
        <v>21.29</v>
      </c>
    </row>
    <row r="24" spans="1:2" x14ac:dyDescent="0.2">
      <c r="A24" s="16" t="s">
        <v>36</v>
      </c>
      <c r="B24" s="13">
        <v>21.57</v>
      </c>
    </row>
    <row r="25" spans="1:2" x14ac:dyDescent="0.2">
      <c r="A25" s="16" t="s">
        <v>37</v>
      </c>
      <c r="B25" s="13">
        <v>21.6</v>
      </c>
    </row>
    <row r="26" spans="1:2" x14ac:dyDescent="0.2">
      <c r="A26" s="16" t="s">
        <v>38</v>
      </c>
      <c r="B26" s="13">
        <v>21.78</v>
      </c>
    </row>
    <row r="27" spans="1:2" x14ac:dyDescent="0.2">
      <c r="A27" s="16" t="s">
        <v>39</v>
      </c>
      <c r="B27" s="13">
        <v>21.85</v>
      </c>
    </row>
    <row r="28" spans="1:2" x14ac:dyDescent="0.2">
      <c r="A28" s="16" t="s">
        <v>40</v>
      </c>
      <c r="B28" s="13">
        <v>21.73</v>
      </c>
    </row>
    <row r="29" spans="1:2" x14ac:dyDescent="0.2">
      <c r="A29" s="16" t="s">
        <v>41</v>
      </c>
      <c r="B29" s="13">
        <v>21.56</v>
      </c>
    </row>
    <row r="30" spans="1:2" x14ac:dyDescent="0.2">
      <c r="A30" s="16" t="s">
        <v>42</v>
      </c>
      <c r="B30" s="13">
        <v>21.48</v>
      </c>
    </row>
    <row r="31" spans="1:2" x14ac:dyDescent="0.2">
      <c r="A31" s="16" t="s">
        <v>43</v>
      </c>
      <c r="B31" s="13">
        <v>21.37</v>
      </c>
    </row>
    <row r="32" spans="1:2" x14ac:dyDescent="0.2">
      <c r="A32" s="16" t="s">
        <v>44</v>
      </c>
      <c r="B32" s="13">
        <v>21.37</v>
      </c>
    </row>
    <row r="33" spans="1:2" x14ac:dyDescent="0.2">
      <c r="A33" s="16" t="s">
        <v>45</v>
      </c>
      <c r="B33" s="13">
        <v>21.77</v>
      </c>
    </row>
    <row r="34" spans="1:2" x14ac:dyDescent="0.2">
      <c r="A34" s="16" t="s">
        <v>46</v>
      </c>
      <c r="B34" s="13">
        <v>21.73</v>
      </c>
    </row>
    <row r="35" spans="1:2" x14ac:dyDescent="0.2">
      <c r="A35" s="16" t="s">
        <v>47</v>
      </c>
      <c r="B35" s="13">
        <v>21.7</v>
      </c>
    </row>
    <row r="36" spans="1:2" x14ac:dyDescent="0.2">
      <c r="A36" s="16" t="s">
        <v>48</v>
      </c>
      <c r="B36" s="13">
        <v>21.73</v>
      </c>
    </row>
    <row r="37" spans="1:2" x14ac:dyDescent="0.2">
      <c r="A37" s="16" t="s">
        <v>49</v>
      </c>
      <c r="B37" s="13">
        <v>21.31</v>
      </c>
    </row>
    <row r="38" spans="1:2" x14ac:dyDescent="0.2">
      <c r="A38" s="16" t="s">
        <v>50</v>
      </c>
      <c r="B38" s="13">
        <v>21.55</v>
      </c>
    </row>
    <row r="39" spans="1:2" x14ac:dyDescent="0.2">
      <c r="A39" s="16" t="s">
        <v>51</v>
      </c>
      <c r="B39" s="13">
        <v>21.82</v>
      </c>
    </row>
    <row r="40" spans="1:2" x14ac:dyDescent="0.2">
      <c r="A40" s="16" t="s">
        <v>52</v>
      </c>
      <c r="B40" s="13">
        <v>21.34</v>
      </c>
    </row>
    <row r="41" spans="1:2" x14ac:dyDescent="0.2">
      <c r="A41" s="16" t="s">
        <v>53</v>
      </c>
      <c r="B41" s="13">
        <v>21.73</v>
      </c>
    </row>
    <row r="42" spans="1:2" x14ac:dyDescent="0.2">
      <c r="A42" s="16" t="s">
        <v>54</v>
      </c>
      <c r="B42" s="13">
        <v>20.89</v>
      </c>
    </row>
    <row r="43" spans="1:2" x14ac:dyDescent="0.2">
      <c r="A43" s="16" t="s">
        <v>55</v>
      </c>
      <c r="B43" s="13">
        <v>21.41</v>
      </c>
    </row>
    <row r="44" spans="1:2" x14ac:dyDescent="0.2">
      <c r="A44" s="16" t="s">
        <v>56</v>
      </c>
      <c r="B44" s="13">
        <v>21.82</v>
      </c>
    </row>
    <row r="45" spans="1:2" x14ac:dyDescent="0.2">
      <c r="A45" s="16" t="s">
        <v>57</v>
      </c>
      <c r="B45" s="13">
        <v>21.09</v>
      </c>
    </row>
    <row r="46" spans="1:2" x14ac:dyDescent="0.2">
      <c r="A46" s="16" t="s">
        <v>58</v>
      </c>
      <c r="B46" s="13">
        <v>20.53</v>
      </c>
    </row>
    <row r="47" spans="1:2" x14ac:dyDescent="0.2">
      <c r="A47" s="16" t="s">
        <v>59</v>
      </c>
      <c r="B47" s="13">
        <v>20.8</v>
      </c>
    </row>
    <row r="48" spans="1:2" x14ac:dyDescent="0.2">
      <c r="A48" s="16" t="s">
        <v>60</v>
      </c>
      <c r="B48" s="13">
        <v>21.08</v>
      </c>
    </row>
    <row r="49" spans="1:2" x14ac:dyDescent="0.2">
      <c r="A49" s="16" t="s">
        <v>61</v>
      </c>
      <c r="B49" s="13">
        <v>21.59</v>
      </c>
    </row>
    <row r="50" spans="1:2" x14ac:dyDescent="0.2">
      <c r="A50" s="16" t="s">
        <v>62</v>
      </c>
      <c r="B50" s="13">
        <v>21.51</v>
      </c>
    </row>
    <row r="51" spans="1:2" x14ac:dyDescent="0.2">
      <c r="A51" s="16" t="s">
        <v>63</v>
      </c>
      <c r="B51" s="13">
        <v>21.73</v>
      </c>
    </row>
    <row r="52" spans="1:2" x14ac:dyDescent="0.2">
      <c r="A52" s="16" t="s">
        <v>64</v>
      </c>
      <c r="B52" s="13">
        <v>21.95</v>
      </c>
    </row>
    <row r="53" spans="1:2" x14ac:dyDescent="0.2">
      <c r="A53" s="16" t="s">
        <v>65</v>
      </c>
      <c r="B53" s="13">
        <v>21.66</v>
      </c>
    </row>
    <row r="54" spans="1:2" x14ac:dyDescent="0.2">
      <c r="A54" s="16" t="s">
        <v>66</v>
      </c>
      <c r="B54" s="13">
        <v>21</v>
      </c>
    </row>
    <row r="55" spans="1:2" x14ac:dyDescent="0.2">
      <c r="A55" s="16" t="s">
        <v>67</v>
      </c>
      <c r="B55" s="13">
        <v>21.16</v>
      </c>
    </row>
    <row r="56" spans="1:2" x14ac:dyDescent="0.2">
      <c r="A56" s="16" t="s">
        <v>68</v>
      </c>
      <c r="B56" s="13">
        <v>21.02</v>
      </c>
    </row>
    <row r="57" spans="1:2" x14ac:dyDescent="0.2">
      <c r="A57" s="16" t="s">
        <v>69</v>
      </c>
      <c r="B57" s="13">
        <v>21.22</v>
      </c>
    </row>
    <row r="58" spans="1:2" x14ac:dyDescent="0.2">
      <c r="A58" s="16" t="s">
        <v>70</v>
      </c>
      <c r="B58" s="13">
        <v>21.32</v>
      </c>
    </row>
    <row r="59" spans="1:2" x14ac:dyDescent="0.2">
      <c r="A59" s="16" t="s">
        <v>71</v>
      </c>
      <c r="B59" s="13">
        <v>21.03</v>
      </c>
    </row>
    <row r="60" spans="1:2" x14ac:dyDescent="0.2">
      <c r="A60" s="16" t="s">
        <v>72</v>
      </c>
      <c r="B60" s="13">
        <v>21.24</v>
      </c>
    </row>
    <row r="61" spans="1:2" x14ac:dyDescent="0.2">
      <c r="A61" s="16" t="s">
        <v>73</v>
      </c>
      <c r="B61" s="13">
        <v>21.47</v>
      </c>
    </row>
    <row r="62" spans="1:2" x14ac:dyDescent="0.2">
      <c r="A62" s="16" t="s">
        <v>74</v>
      </c>
      <c r="B62" s="13">
        <v>21.44</v>
      </c>
    </row>
    <row r="63" spans="1:2" x14ac:dyDescent="0.2">
      <c r="A63" s="16" t="s">
        <v>75</v>
      </c>
      <c r="B63" s="13">
        <v>21.85</v>
      </c>
    </row>
    <row r="64" spans="1:2" x14ac:dyDescent="0.2">
      <c r="A64" s="16" t="s">
        <v>76</v>
      </c>
      <c r="B64" s="13">
        <v>21.69</v>
      </c>
    </row>
    <row r="65" spans="1:2" x14ac:dyDescent="0.2">
      <c r="A65" s="16" t="s">
        <v>77</v>
      </c>
      <c r="B65" s="13">
        <v>21.12</v>
      </c>
    </row>
    <row r="66" spans="1:2" x14ac:dyDescent="0.2">
      <c r="A66" s="16" t="s">
        <v>78</v>
      </c>
      <c r="B66" s="13">
        <v>21.56</v>
      </c>
    </row>
    <row r="67" spans="1:2" x14ac:dyDescent="0.2">
      <c r="A67" s="16" t="s">
        <v>79</v>
      </c>
      <c r="B67" s="13">
        <v>21.15</v>
      </c>
    </row>
    <row r="68" spans="1:2" x14ac:dyDescent="0.2">
      <c r="A68" s="16" t="s">
        <v>80</v>
      </c>
      <c r="B68" s="13">
        <v>21.65</v>
      </c>
    </row>
    <row r="69" spans="1:2" x14ac:dyDescent="0.2">
      <c r="A69" s="16" t="s">
        <v>81</v>
      </c>
      <c r="B69" s="13">
        <v>21.26</v>
      </c>
    </row>
    <row r="70" spans="1:2" x14ac:dyDescent="0.2">
      <c r="A70" s="16" t="s">
        <v>82</v>
      </c>
      <c r="B70" s="13">
        <v>21.43</v>
      </c>
    </row>
    <row r="71" spans="1:2" x14ac:dyDescent="0.2">
      <c r="A71" s="16" t="s">
        <v>83</v>
      </c>
      <c r="B71" s="13">
        <v>21.36</v>
      </c>
    </row>
    <row r="72" spans="1:2" x14ac:dyDescent="0.2">
      <c r="A72" s="16" t="s">
        <v>84</v>
      </c>
      <c r="B72" s="13">
        <v>21.36</v>
      </c>
    </row>
    <row r="73" spans="1:2" x14ac:dyDescent="0.2">
      <c r="A73" s="16" t="s">
        <v>85</v>
      </c>
      <c r="B73" s="13">
        <v>21.23</v>
      </c>
    </row>
    <row r="74" spans="1:2" x14ac:dyDescent="0.2">
      <c r="A74" s="16" t="s">
        <v>86</v>
      </c>
      <c r="B74" s="13">
        <v>20.89</v>
      </c>
    </row>
    <row r="75" spans="1:2" x14ac:dyDescent="0.2">
      <c r="A75" s="16" t="s">
        <v>87</v>
      </c>
      <c r="B75" s="13">
        <v>21.06</v>
      </c>
    </row>
    <row r="76" spans="1:2" x14ac:dyDescent="0.2">
      <c r="A76" s="16" t="s">
        <v>88</v>
      </c>
      <c r="B76" s="13">
        <v>21.04</v>
      </c>
    </row>
    <row r="77" spans="1:2" x14ac:dyDescent="0.2">
      <c r="A77" s="16" t="s">
        <v>89</v>
      </c>
      <c r="B77" s="13">
        <v>19.989999999999998</v>
      </c>
    </row>
    <row r="78" spans="1:2" x14ac:dyDescent="0.2">
      <c r="A78" s="16" t="s">
        <v>90</v>
      </c>
      <c r="B78" s="13">
        <v>20.27</v>
      </c>
    </row>
    <row r="79" spans="1:2" x14ac:dyDescent="0.2">
      <c r="A79" s="16" t="s">
        <v>91</v>
      </c>
      <c r="B79" s="13">
        <v>20.99</v>
      </c>
    </row>
    <row r="80" spans="1:2" x14ac:dyDescent="0.2">
      <c r="A80" s="16" t="s">
        <v>92</v>
      </c>
      <c r="B80" s="13">
        <v>20.75</v>
      </c>
    </row>
    <row r="81" spans="1:2" x14ac:dyDescent="0.2">
      <c r="A81" s="16" t="s">
        <v>93</v>
      </c>
      <c r="B81" s="13">
        <v>20.99</v>
      </c>
    </row>
    <row r="82" spans="1:2" x14ac:dyDescent="0.2">
      <c r="A82" s="16" t="s">
        <v>94</v>
      </c>
      <c r="B82" s="13">
        <v>21.19</v>
      </c>
    </row>
    <row r="83" spans="1:2" x14ac:dyDescent="0.2">
      <c r="A83" s="16" t="s">
        <v>95</v>
      </c>
      <c r="B83" s="13">
        <v>21.21</v>
      </c>
    </row>
    <row r="84" spans="1:2" x14ac:dyDescent="0.2">
      <c r="A84" s="16" t="s">
        <v>96</v>
      </c>
      <c r="B84" s="13">
        <v>20.88</v>
      </c>
    </row>
    <row r="85" spans="1:2" x14ac:dyDescent="0.2">
      <c r="A85" s="16" t="s">
        <v>97</v>
      </c>
      <c r="B85" s="13">
        <v>20.47</v>
      </c>
    </row>
    <row r="86" spans="1:2" x14ac:dyDescent="0.2">
      <c r="A86" s="16" t="s">
        <v>98</v>
      </c>
      <c r="B86" s="13">
        <v>20.5</v>
      </c>
    </row>
    <row r="87" spans="1:2" x14ac:dyDescent="0.2">
      <c r="A87" s="16" t="s">
        <v>99</v>
      </c>
      <c r="B87" s="13">
        <v>20.059999999999999</v>
      </c>
    </row>
    <row r="88" spans="1:2" x14ac:dyDescent="0.2">
      <c r="A88" s="16" t="s">
        <v>100</v>
      </c>
      <c r="B88" s="13">
        <v>20.59</v>
      </c>
    </row>
    <row r="89" spans="1:2" x14ac:dyDescent="0.2">
      <c r="A89" s="16" t="s">
        <v>101</v>
      </c>
      <c r="B89" s="13">
        <v>21.05</v>
      </c>
    </row>
    <row r="90" spans="1:2" x14ac:dyDescent="0.2">
      <c r="A90" s="16" t="s">
        <v>102</v>
      </c>
      <c r="B90" s="13">
        <v>20.64</v>
      </c>
    </row>
    <row r="91" spans="1:2" x14ac:dyDescent="0.2">
      <c r="A91" s="16" t="s">
        <v>103</v>
      </c>
      <c r="B91" s="13">
        <v>20.420000000000002</v>
      </c>
    </row>
    <row r="92" spans="1:2" x14ac:dyDescent="0.2">
      <c r="A92" s="16" t="s">
        <v>104</v>
      </c>
      <c r="B92" s="13">
        <v>19.84</v>
      </c>
    </row>
    <row r="93" spans="1:2" x14ac:dyDescent="0.2">
      <c r="A93" s="16" t="s">
        <v>105</v>
      </c>
      <c r="B93" s="13">
        <v>20.59</v>
      </c>
    </row>
    <row r="94" spans="1:2" x14ac:dyDescent="0.2">
      <c r="A94" s="16" t="s">
        <v>106</v>
      </c>
      <c r="B94" s="13">
        <v>20.62</v>
      </c>
    </row>
    <row r="95" spans="1:2" x14ac:dyDescent="0.2">
      <c r="A95" s="16" t="s">
        <v>107</v>
      </c>
      <c r="B95" s="13">
        <v>20.7</v>
      </c>
    </row>
    <row r="96" spans="1:2" x14ac:dyDescent="0.2">
      <c r="A96" s="16" t="s">
        <v>108</v>
      </c>
      <c r="B96" s="13">
        <v>20.39</v>
      </c>
    </row>
    <row r="97" spans="1:2" x14ac:dyDescent="0.2">
      <c r="A97" s="16" t="s">
        <v>109</v>
      </c>
      <c r="B97" s="13">
        <v>20.440000000000001</v>
      </c>
    </row>
    <row r="98" spans="1:2" x14ac:dyDescent="0.2">
      <c r="A98" s="16" t="s">
        <v>110</v>
      </c>
      <c r="B98" s="13">
        <v>20.65</v>
      </c>
    </row>
    <row r="99" spans="1:2" x14ac:dyDescent="0.2">
      <c r="A99" s="16" t="s">
        <v>111</v>
      </c>
      <c r="B99" s="13">
        <v>20.34</v>
      </c>
    </row>
    <row r="100" spans="1:2" x14ac:dyDescent="0.2">
      <c r="A100" s="16" t="s">
        <v>112</v>
      </c>
      <c r="B100" s="13">
        <v>20</v>
      </c>
    </row>
    <row r="101" spans="1:2" x14ac:dyDescent="0.2">
      <c r="A101" s="16" t="s">
        <v>113</v>
      </c>
      <c r="B101" s="13">
        <v>19.510000000000002</v>
      </c>
    </row>
    <row r="102" spans="1:2" x14ac:dyDescent="0.2">
      <c r="A102" s="16" t="s">
        <v>114</v>
      </c>
      <c r="B102" s="13">
        <v>19.8</v>
      </c>
    </row>
    <row r="103" spans="1:2" x14ac:dyDescent="0.2">
      <c r="A103" s="16" t="s">
        <v>115</v>
      </c>
      <c r="B103" s="13">
        <v>19.399999999999999</v>
      </c>
    </row>
    <row r="104" spans="1:2" x14ac:dyDescent="0.2">
      <c r="A104" s="16" t="s">
        <v>116</v>
      </c>
      <c r="B104" s="13">
        <v>18.98</v>
      </c>
    </row>
    <row r="105" spans="1:2" x14ac:dyDescent="0.2">
      <c r="A105" s="16" t="s">
        <v>117</v>
      </c>
      <c r="B105" s="13">
        <v>19.11</v>
      </c>
    </row>
    <row r="106" spans="1:2" x14ac:dyDescent="0.2">
      <c r="A106" s="16" t="s">
        <v>118</v>
      </c>
      <c r="B106" s="13">
        <v>18.850000000000001</v>
      </c>
    </row>
    <row r="107" spans="1:2" x14ac:dyDescent="0.2">
      <c r="A107" s="16" t="s">
        <v>119</v>
      </c>
      <c r="B107" s="13">
        <v>18.97</v>
      </c>
    </row>
    <row r="108" spans="1:2" x14ac:dyDescent="0.2">
      <c r="A108" s="16" t="s">
        <v>120</v>
      </c>
      <c r="B108" s="13">
        <v>18.8</v>
      </c>
    </row>
    <row r="109" spans="1:2" x14ac:dyDescent="0.2">
      <c r="A109" s="16" t="s">
        <v>121</v>
      </c>
      <c r="B109" s="13">
        <v>19.16</v>
      </c>
    </row>
    <row r="110" spans="1:2" x14ac:dyDescent="0.2">
      <c r="A110" s="16" t="s">
        <v>122</v>
      </c>
      <c r="B110" s="13">
        <v>19.2</v>
      </c>
    </row>
    <row r="111" spans="1:2" x14ac:dyDescent="0.2">
      <c r="A111" s="16" t="s">
        <v>123</v>
      </c>
      <c r="B111" s="13">
        <v>19.38</v>
      </c>
    </row>
    <row r="112" spans="1:2" x14ac:dyDescent="0.2">
      <c r="A112" s="16" t="s">
        <v>124</v>
      </c>
      <c r="B112" s="13">
        <v>19.53</v>
      </c>
    </row>
    <row r="113" spans="1:2" x14ac:dyDescent="0.2">
      <c r="A113" s="16" t="s">
        <v>125</v>
      </c>
      <c r="B113" s="13">
        <v>19.190000000000001</v>
      </c>
    </row>
    <row r="114" spans="1:2" x14ac:dyDescent="0.2">
      <c r="A114" s="16" t="s">
        <v>126</v>
      </c>
      <c r="B114" s="13">
        <v>19.27</v>
      </c>
    </row>
    <row r="115" spans="1:2" x14ac:dyDescent="0.2">
      <c r="A115" s="16" t="s">
        <v>127</v>
      </c>
      <c r="B115" s="13">
        <v>19.57</v>
      </c>
    </row>
    <row r="116" spans="1:2" x14ac:dyDescent="0.2">
      <c r="A116" s="16" t="s">
        <v>128</v>
      </c>
      <c r="B116" s="13">
        <v>19.54</v>
      </c>
    </row>
    <row r="117" spans="1:2" x14ac:dyDescent="0.2">
      <c r="A117" s="16" t="s">
        <v>129</v>
      </c>
      <c r="B117" s="13">
        <v>19.940000000000001</v>
      </c>
    </row>
    <row r="118" spans="1:2" x14ac:dyDescent="0.2">
      <c r="A118" s="16" t="s">
        <v>130</v>
      </c>
      <c r="B118" s="13">
        <v>19.88</v>
      </c>
    </row>
    <row r="119" spans="1:2" x14ac:dyDescent="0.2">
      <c r="A119" s="16" t="s">
        <v>131</v>
      </c>
      <c r="B119" s="13">
        <v>19.829999999999998</v>
      </c>
    </row>
    <row r="120" spans="1:2" x14ac:dyDescent="0.2">
      <c r="A120" s="16" t="s">
        <v>132</v>
      </c>
      <c r="B120" s="13">
        <v>19.8</v>
      </c>
    </row>
    <row r="121" spans="1:2" x14ac:dyDescent="0.2">
      <c r="A121" s="16" t="s">
        <v>133</v>
      </c>
      <c r="B121" s="13">
        <v>19.649999999999999</v>
      </c>
    </row>
    <row r="122" spans="1:2" x14ac:dyDescent="0.2">
      <c r="A122" s="16" t="s">
        <v>134</v>
      </c>
      <c r="B122" s="13">
        <v>19.940000000000001</v>
      </c>
    </row>
    <row r="123" spans="1:2" x14ac:dyDescent="0.2">
      <c r="A123" s="16" t="s">
        <v>135</v>
      </c>
      <c r="B123" s="13">
        <v>19.91</v>
      </c>
    </row>
    <row r="124" spans="1:2" x14ac:dyDescent="0.2">
      <c r="A124" s="16" t="s">
        <v>136</v>
      </c>
      <c r="B124" s="13">
        <v>20.04</v>
      </c>
    </row>
    <row r="125" spans="1:2" x14ac:dyDescent="0.2">
      <c r="A125" s="16" t="s">
        <v>137</v>
      </c>
      <c r="B125" s="13">
        <v>20.18</v>
      </c>
    </row>
    <row r="126" spans="1:2" x14ac:dyDescent="0.2">
      <c r="A126" s="16" t="s">
        <v>138</v>
      </c>
      <c r="B126" s="13">
        <v>19.82</v>
      </c>
    </row>
    <row r="127" spans="1:2" x14ac:dyDescent="0.2">
      <c r="A127" s="16" t="s">
        <v>139</v>
      </c>
      <c r="B127" s="13">
        <v>19.989999999999998</v>
      </c>
    </row>
    <row r="128" spans="1:2" x14ac:dyDescent="0.2">
      <c r="A128" s="16" t="s">
        <v>140</v>
      </c>
      <c r="B128" s="13">
        <v>20.63</v>
      </c>
    </row>
    <row r="129" spans="1:2" x14ac:dyDescent="0.2">
      <c r="A129" s="16" t="s">
        <v>141</v>
      </c>
      <c r="B129" s="13">
        <v>21</v>
      </c>
    </row>
    <row r="130" spans="1:2" x14ac:dyDescent="0.2">
      <c r="A130" s="16" t="s">
        <v>142</v>
      </c>
      <c r="B130" s="13">
        <v>21.5</v>
      </c>
    </row>
    <row r="131" spans="1:2" x14ac:dyDescent="0.2">
      <c r="A131" s="16" t="s">
        <v>143</v>
      </c>
      <c r="B131" s="13">
        <v>21.36</v>
      </c>
    </row>
    <row r="132" spans="1:2" x14ac:dyDescent="0.2">
      <c r="A132" s="16" t="s">
        <v>144</v>
      </c>
      <c r="B132" s="13">
        <v>21.34</v>
      </c>
    </row>
    <row r="133" spans="1:2" x14ac:dyDescent="0.2">
      <c r="A133" s="16" t="s">
        <v>145</v>
      </c>
      <c r="B133" s="13">
        <v>21.4</v>
      </c>
    </row>
    <row r="134" spans="1:2" x14ac:dyDescent="0.2">
      <c r="A134" s="16" t="s">
        <v>146</v>
      </c>
      <c r="B134" s="13">
        <v>21.61</v>
      </c>
    </row>
    <row r="135" spans="1:2" x14ac:dyDescent="0.2">
      <c r="A135" s="16" t="s">
        <v>147</v>
      </c>
      <c r="B135" s="13">
        <v>21.95</v>
      </c>
    </row>
    <row r="136" spans="1:2" x14ac:dyDescent="0.2">
      <c r="A136" s="16" t="s">
        <v>148</v>
      </c>
      <c r="B136" s="13">
        <v>22.56</v>
      </c>
    </row>
    <row r="137" spans="1:2" x14ac:dyDescent="0.2">
      <c r="A137" s="16" t="s">
        <v>149</v>
      </c>
      <c r="B137" s="13">
        <v>22.04</v>
      </c>
    </row>
    <row r="138" spans="1:2" x14ac:dyDescent="0.2">
      <c r="A138" s="16" t="s">
        <v>150</v>
      </c>
      <c r="B138" s="13">
        <v>22.24</v>
      </c>
    </row>
    <row r="139" spans="1:2" x14ac:dyDescent="0.2">
      <c r="A139" s="16" t="s">
        <v>151</v>
      </c>
      <c r="B139" s="13">
        <v>22.19</v>
      </c>
    </row>
    <row r="140" spans="1:2" x14ac:dyDescent="0.2">
      <c r="A140" s="16" t="s">
        <v>152</v>
      </c>
      <c r="B140" s="13">
        <v>22.66</v>
      </c>
    </row>
    <row r="141" spans="1:2" x14ac:dyDescent="0.2">
      <c r="A141" s="16" t="s">
        <v>153</v>
      </c>
      <c r="B141" s="13">
        <v>23</v>
      </c>
    </row>
    <row r="142" spans="1:2" x14ac:dyDescent="0.2">
      <c r="A142" s="16" t="s">
        <v>154</v>
      </c>
      <c r="B142" s="13">
        <v>23.01</v>
      </c>
    </row>
    <row r="143" spans="1:2" x14ac:dyDescent="0.2">
      <c r="A143" s="16" t="s">
        <v>155</v>
      </c>
      <c r="B143" s="13">
        <v>21.92</v>
      </c>
    </row>
    <row r="144" spans="1:2" x14ac:dyDescent="0.2">
      <c r="A144" s="16" t="s">
        <v>156</v>
      </c>
      <c r="B144" s="13">
        <v>21.3</v>
      </c>
    </row>
    <row r="145" spans="1:2" x14ac:dyDescent="0.2">
      <c r="A145" s="16" t="s">
        <v>157</v>
      </c>
      <c r="B145" s="13">
        <v>21.4</v>
      </c>
    </row>
    <row r="146" spans="1:2" x14ac:dyDescent="0.2">
      <c r="A146" s="16" t="s">
        <v>158</v>
      </c>
      <c r="B146" s="13">
        <v>21.6</v>
      </c>
    </row>
    <row r="147" spans="1:2" x14ac:dyDescent="0.2">
      <c r="A147" s="16" t="s">
        <v>159</v>
      </c>
      <c r="B147" s="13">
        <v>21.56</v>
      </c>
    </row>
    <row r="148" spans="1:2" x14ac:dyDescent="0.2">
      <c r="A148" s="16" t="s">
        <v>160</v>
      </c>
      <c r="B148" s="13">
        <v>22.21</v>
      </c>
    </row>
    <row r="149" spans="1:2" x14ac:dyDescent="0.2">
      <c r="A149" s="16" t="s">
        <v>161</v>
      </c>
      <c r="B149" s="13">
        <v>21.83</v>
      </c>
    </row>
    <row r="150" spans="1:2" x14ac:dyDescent="0.2">
      <c r="A150" s="16" t="s">
        <v>162</v>
      </c>
      <c r="B150" s="13">
        <v>21.11</v>
      </c>
    </row>
    <row r="151" spans="1:2" x14ac:dyDescent="0.2">
      <c r="A151" s="16" t="s">
        <v>163</v>
      </c>
      <c r="B151" s="13">
        <v>20.350000000000001</v>
      </c>
    </row>
    <row r="152" spans="1:2" x14ac:dyDescent="0.2">
      <c r="A152" s="16" t="s">
        <v>164</v>
      </c>
      <c r="B152" s="13">
        <v>20.47</v>
      </c>
    </row>
    <row r="153" spans="1:2" x14ac:dyDescent="0.2">
      <c r="A153" s="16" t="s">
        <v>165</v>
      </c>
      <c r="B153" s="13">
        <v>20.329999999999998</v>
      </c>
    </row>
    <row r="154" spans="1:2" x14ac:dyDescent="0.2">
      <c r="A154" s="16" t="s">
        <v>166</v>
      </c>
      <c r="B154" s="13">
        <v>20.350000000000001</v>
      </c>
    </row>
    <row r="155" spans="1:2" x14ac:dyDescent="0.2">
      <c r="A155" s="16" t="s">
        <v>167</v>
      </c>
      <c r="B155" s="13">
        <v>20.239999999999998</v>
      </c>
    </row>
    <row r="156" spans="1:2" x14ac:dyDescent="0.2">
      <c r="A156" s="16" t="s">
        <v>168</v>
      </c>
      <c r="B156" s="13">
        <v>20.54</v>
      </c>
    </row>
    <row r="157" spans="1:2" x14ac:dyDescent="0.2">
      <c r="A157" s="16" t="s">
        <v>169</v>
      </c>
      <c r="B157" s="13">
        <v>20.239999999999998</v>
      </c>
    </row>
    <row r="158" spans="1:2" x14ac:dyDescent="0.2">
      <c r="A158" s="16" t="s">
        <v>170</v>
      </c>
      <c r="B158" s="13">
        <v>20.41</v>
      </c>
    </row>
    <row r="159" spans="1:2" x14ac:dyDescent="0.2">
      <c r="A159" s="16" t="s">
        <v>171</v>
      </c>
      <c r="B159" s="13">
        <v>20.48</v>
      </c>
    </row>
    <row r="160" spans="1:2" x14ac:dyDescent="0.2">
      <c r="A160" s="16" t="s">
        <v>172</v>
      </c>
      <c r="B160" s="13">
        <v>20.399999999999999</v>
      </c>
    </row>
    <row r="161" spans="1:2" x14ac:dyDescent="0.2">
      <c r="A161" s="16" t="s">
        <v>173</v>
      </c>
      <c r="B161" s="13">
        <v>20.25</v>
      </c>
    </row>
    <row r="162" spans="1:2" x14ac:dyDescent="0.2">
      <c r="A162" s="16" t="s">
        <v>174</v>
      </c>
      <c r="B162" s="13">
        <v>20.21</v>
      </c>
    </row>
    <row r="163" spans="1:2" x14ac:dyDescent="0.2">
      <c r="A163" s="16" t="s">
        <v>175</v>
      </c>
      <c r="B163" s="13">
        <v>20.12</v>
      </c>
    </row>
    <row r="164" spans="1:2" x14ac:dyDescent="0.2">
      <c r="A164" s="16" t="s">
        <v>176</v>
      </c>
      <c r="B164" s="13">
        <v>19.600000000000001</v>
      </c>
    </row>
    <row r="165" spans="1:2" x14ac:dyDescent="0.2">
      <c r="A165" s="16" t="s">
        <v>177</v>
      </c>
      <c r="B165" s="13">
        <v>19.97</v>
      </c>
    </row>
    <row r="166" spans="1:2" x14ac:dyDescent="0.2">
      <c r="A166" s="16" t="s">
        <v>178</v>
      </c>
      <c r="B166" s="13">
        <v>19.649999999999999</v>
      </c>
    </row>
    <row r="167" spans="1:2" x14ac:dyDescent="0.2">
      <c r="A167" s="16" t="s">
        <v>179</v>
      </c>
      <c r="B167" s="13">
        <v>19.329999999999998</v>
      </c>
    </row>
    <row r="168" spans="1:2" x14ac:dyDescent="0.2">
      <c r="A168" s="16" t="s">
        <v>180</v>
      </c>
      <c r="B168" s="13">
        <v>20.05</v>
      </c>
    </row>
    <row r="169" spans="1:2" x14ac:dyDescent="0.2">
      <c r="A169" s="16" t="s">
        <v>181</v>
      </c>
      <c r="B169" s="13">
        <v>20.47</v>
      </c>
    </row>
    <row r="170" spans="1:2" x14ac:dyDescent="0.2">
      <c r="A170" s="16" t="s">
        <v>182</v>
      </c>
      <c r="B170" s="13">
        <v>20.97</v>
      </c>
    </row>
    <row r="171" spans="1:2" x14ac:dyDescent="0.2">
      <c r="A171" s="16" t="s">
        <v>183</v>
      </c>
      <c r="B171" s="13">
        <v>21.52</v>
      </c>
    </row>
    <row r="172" spans="1:2" x14ac:dyDescent="0.2">
      <c r="A172" s="16" t="s">
        <v>184</v>
      </c>
      <c r="B172" s="13">
        <v>21.59</v>
      </c>
    </row>
    <row r="173" spans="1:2" x14ac:dyDescent="0.2">
      <c r="A173" s="16" t="s">
        <v>185</v>
      </c>
      <c r="B173" s="13">
        <v>21.19</v>
      </c>
    </row>
    <row r="174" spans="1:2" x14ac:dyDescent="0.2">
      <c r="A174" s="16" t="s">
        <v>186</v>
      </c>
      <c r="B174" s="13">
        <v>21.05</v>
      </c>
    </row>
    <row r="175" spans="1:2" x14ac:dyDescent="0.2">
      <c r="A175" s="16" t="s">
        <v>187</v>
      </c>
      <c r="B175" s="13">
        <v>20.81</v>
      </c>
    </row>
    <row r="176" spans="1:2" x14ac:dyDescent="0.2">
      <c r="A176" s="16" t="s">
        <v>188</v>
      </c>
      <c r="B176" s="13">
        <v>20.7</v>
      </c>
    </row>
    <row r="177" spans="1:2" x14ac:dyDescent="0.2">
      <c r="A177" s="16" t="s">
        <v>189</v>
      </c>
      <c r="B177" s="13">
        <v>20.66</v>
      </c>
    </row>
    <row r="178" spans="1:2" x14ac:dyDescent="0.2">
      <c r="A178" s="16" t="s">
        <v>190</v>
      </c>
      <c r="B178" s="13">
        <v>20.89</v>
      </c>
    </row>
    <row r="179" spans="1:2" x14ac:dyDescent="0.2">
      <c r="A179" s="16" t="s">
        <v>191</v>
      </c>
      <c r="B179" s="13">
        <v>20.53</v>
      </c>
    </row>
    <row r="180" spans="1:2" x14ac:dyDescent="0.2">
      <c r="A180" s="16" t="s">
        <v>192</v>
      </c>
      <c r="B180" s="13">
        <v>20.66</v>
      </c>
    </row>
    <row r="181" spans="1:2" x14ac:dyDescent="0.2">
      <c r="A181" s="16" t="s">
        <v>193</v>
      </c>
      <c r="B181" s="13">
        <v>20.7</v>
      </c>
    </row>
    <row r="182" spans="1:2" x14ac:dyDescent="0.2">
      <c r="A182" s="16" t="s">
        <v>194</v>
      </c>
      <c r="B182" s="13">
        <v>20.85</v>
      </c>
    </row>
    <row r="183" spans="1:2" x14ac:dyDescent="0.2">
      <c r="A183" s="16" t="s">
        <v>195</v>
      </c>
      <c r="B183" s="13">
        <v>20.76</v>
      </c>
    </row>
    <row r="184" spans="1:2" x14ac:dyDescent="0.2">
      <c r="A184" s="16" t="s">
        <v>196</v>
      </c>
      <c r="B184" s="13">
        <v>21.43</v>
      </c>
    </row>
    <row r="185" spans="1:2" x14ac:dyDescent="0.2">
      <c r="A185" s="16" t="s">
        <v>197</v>
      </c>
      <c r="B185" s="13">
        <v>21.91</v>
      </c>
    </row>
    <row r="186" spans="1:2" x14ac:dyDescent="0.2">
      <c r="A186" s="16" t="s">
        <v>198</v>
      </c>
      <c r="B186" s="13">
        <v>21.48</v>
      </c>
    </row>
    <row r="187" spans="1:2" x14ac:dyDescent="0.2">
      <c r="A187" s="16" t="s">
        <v>199</v>
      </c>
      <c r="B187" s="13">
        <v>21.87</v>
      </c>
    </row>
    <row r="188" spans="1:2" x14ac:dyDescent="0.2">
      <c r="A188" s="16" t="s">
        <v>200</v>
      </c>
      <c r="B188" s="13">
        <v>21.95</v>
      </c>
    </row>
    <row r="189" spans="1:2" x14ac:dyDescent="0.2">
      <c r="A189" s="16" t="s">
        <v>201</v>
      </c>
      <c r="B189" s="13">
        <v>22.54</v>
      </c>
    </row>
    <row r="190" spans="1:2" x14ac:dyDescent="0.2">
      <c r="A190" s="16" t="s">
        <v>202</v>
      </c>
      <c r="B190" s="13">
        <v>22.45</v>
      </c>
    </row>
    <row r="191" spans="1:2" x14ac:dyDescent="0.2">
      <c r="A191" s="16" t="s">
        <v>203</v>
      </c>
      <c r="B191" s="13">
        <v>22.35</v>
      </c>
    </row>
    <row r="192" spans="1:2" x14ac:dyDescent="0.2">
      <c r="A192" s="16" t="s">
        <v>204</v>
      </c>
      <c r="B192" s="13">
        <v>22.21</v>
      </c>
    </row>
    <row r="193" spans="1:2" x14ac:dyDescent="0.2">
      <c r="A193" s="16" t="s">
        <v>205</v>
      </c>
      <c r="B193" s="13">
        <v>21.68</v>
      </c>
    </row>
    <row r="194" spans="1:2" x14ac:dyDescent="0.2">
      <c r="A194" s="16" t="s">
        <v>206</v>
      </c>
      <c r="B194" s="13">
        <v>21.61</v>
      </c>
    </row>
    <row r="195" spans="1:2" x14ac:dyDescent="0.2">
      <c r="A195" s="16" t="s">
        <v>207</v>
      </c>
      <c r="B195" s="13">
        <v>21.24</v>
      </c>
    </row>
    <row r="196" spans="1:2" x14ac:dyDescent="0.2">
      <c r="A196" s="16" t="s">
        <v>208</v>
      </c>
      <c r="B196" s="13">
        <v>21.67</v>
      </c>
    </row>
    <row r="197" spans="1:2" x14ac:dyDescent="0.2">
      <c r="A197" s="16" t="s">
        <v>209</v>
      </c>
      <c r="B197" s="13">
        <v>21.62</v>
      </c>
    </row>
    <row r="198" spans="1:2" x14ac:dyDescent="0.2">
      <c r="A198" s="16" t="s">
        <v>210</v>
      </c>
      <c r="B198" s="13">
        <v>21.92</v>
      </c>
    </row>
    <row r="199" spans="1:2" x14ac:dyDescent="0.2">
      <c r="A199" s="16" t="s">
        <v>211</v>
      </c>
      <c r="B199" s="13">
        <v>21.85</v>
      </c>
    </row>
    <row r="200" spans="1:2" x14ac:dyDescent="0.2">
      <c r="A200" s="16" t="s">
        <v>212</v>
      </c>
      <c r="B200" s="13">
        <v>21.89</v>
      </c>
    </row>
    <row r="201" spans="1:2" x14ac:dyDescent="0.2">
      <c r="A201" s="16" t="s">
        <v>213</v>
      </c>
      <c r="B201" s="13">
        <v>21.51</v>
      </c>
    </row>
    <row r="202" spans="1:2" x14ac:dyDescent="0.2">
      <c r="A202" s="16" t="s">
        <v>214</v>
      </c>
      <c r="B202" s="13">
        <v>21.52</v>
      </c>
    </row>
    <row r="203" spans="1:2" x14ac:dyDescent="0.2">
      <c r="A203" s="16" t="s">
        <v>215</v>
      </c>
      <c r="B203" s="13">
        <v>21.33</v>
      </c>
    </row>
    <row r="204" spans="1:2" x14ac:dyDescent="0.2">
      <c r="A204" s="16" t="s">
        <v>216</v>
      </c>
      <c r="B204" s="13">
        <v>21.62</v>
      </c>
    </row>
    <row r="205" spans="1:2" x14ac:dyDescent="0.2">
      <c r="A205" s="16" t="s">
        <v>217</v>
      </c>
      <c r="B205" s="13">
        <v>17.2</v>
      </c>
    </row>
    <row r="206" spans="1:2" x14ac:dyDescent="0.2">
      <c r="A206" s="16" t="s">
        <v>218</v>
      </c>
      <c r="B206" s="13">
        <v>17.309999999999999</v>
      </c>
    </row>
    <row r="207" spans="1:2" x14ac:dyDescent="0.2">
      <c r="A207" s="16" t="s">
        <v>219</v>
      </c>
      <c r="B207" s="13">
        <v>16.87</v>
      </c>
    </row>
    <row r="208" spans="1:2" x14ac:dyDescent="0.2">
      <c r="A208" s="16" t="s">
        <v>220</v>
      </c>
      <c r="B208" s="13">
        <v>16.37</v>
      </c>
    </row>
    <row r="209" spans="1:2" x14ac:dyDescent="0.2">
      <c r="A209" s="16" t="s">
        <v>221</v>
      </c>
      <c r="B209" s="13">
        <v>15.86</v>
      </c>
    </row>
    <row r="210" spans="1:2" x14ac:dyDescent="0.2">
      <c r="A210" s="16" t="s">
        <v>222</v>
      </c>
      <c r="B210" s="13">
        <v>15.89</v>
      </c>
    </row>
    <row r="211" spans="1:2" x14ac:dyDescent="0.2">
      <c r="A211" s="16" t="s">
        <v>223</v>
      </c>
      <c r="B211" s="13">
        <v>15.68</v>
      </c>
    </row>
    <row r="212" spans="1:2" x14ac:dyDescent="0.2">
      <c r="A212" s="16" t="s">
        <v>224</v>
      </c>
      <c r="B212" s="13">
        <v>15.67</v>
      </c>
    </row>
    <row r="213" spans="1:2" x14ac:dyDescent="0.2">
      <c r="A213" s="16" t="s">
        <v>225</v>
      </c>
      <c r="B213" s="13">
        <v>15.9</v>
      </c>
    </row>
    <row r="214" spans="1:2" x14ac:dyDescent="0.2">
      <c r="A214" s="16" t="s">
        <v>226</v>
      </c>
      <c r="B214" s="13">
        <v>15.98</v>
      </c>
    </row>
    <row r="215" spans="1:2" x14ac:dyDescent="0.2">
      <c r="A215" s="16" t="s">
        <v>227</v>
      </c>
      <c r="B215" s="13">
        <v>15.73</v>
      </c>
    </row>
    <row r="216" spans="1:2" x14ac:dyDescent="0.2">
      <c r="A216" s="16" t="s">
        <v>228</v>
      </c>
      <c r="B216" s="13">
        <v>15.53</v>
      </c>
    </row>
    <row r="217" spans="1:2" x14ac:dyDescent="0.2">
      <c r="A217" s="16" t="s">
        <v>229</v>
      </c>
      <c r="B217" s="13">
        <v>15.65</v>
      </c>
    </row>
    <row r="218" spans="1:2" x14ac:dyDescent="0.2">
      <c r="A218" s="16" t="s">
        <v>230</v>
      </c>
      <c r="B218" s="13">
        <v>15.8</v>
      </c>
    </row>
    <row r="219" spans="1:2" x14ac:dyDescent="0.2">
      <c r="A219" s="16" t="s">
        <v>231</v>
      </c>
      <c r="B219" s="13">
        <v>16.12</v>
      </c>
    </row>
    <row r="220" spans="1:2" x14ac:dyDescent="0.2">
      <c r="A220" s="16" t="s">
        <v>232</v>
      </c>
      <c r="B220" s="13">
        <v>16.25</v>
      </c>
    </row>
    <row r="221" spans="1:2" x14ac:dyDescent="0.2">
      <c r="A221" s="16" t="s">
        <v>233</v>
      </c>
      <c r="B221" s="13">
        <v>16.3</v>
      </c>
    </row>
    <row r="222" spans="1:2" x14ac:dyDescent="0.2">
      <c r="A222" s="16" t="s">
        <v>234</v>
      </c>
      <c r="B222" s="13">
        <v>16.43</v>
      </c>
    </row>
    <row r="223" spans="1:2" x14ac:dyDescent="0.2">
      <c r="A223" s="16" t="s">
        <v>235</v>
      </c>
      <c r="B223" s="13">
        <v>16.63</v>
      </c>
    </row>
    <row r="224" spans="1:2" x14ac:dyDescent="0.2">
      <c r="A224" s="16" t="s">
        <v>236</v>
      </c>
      <c r="B224" s="13">
        <v>17.39</v>
      </c>
    </row>
    <row r="225" spans="1:2" x14ac:dyDescent="0.2">
      <c r="A225" s="16" t="s">
        <v>237</v>
      </c>
      <c r="B225" s="13">
        <v>17.329999999999998</v>
      </c>
    </row>
    <row r="226" spans="1:2" x14ac:dyDescent="0.2">
      <c r="A226" s="16" t="s">
        <v>238</v>
      </c>
      <c r="B226" s="13">
        <v>17.16</v>
      </c>
    </row>
    <row r="227" spans="1:2" x14ac:dyDescent="0.2">
      <c r="A227" s="16" t="s">
        <v>239</v>
      </c>
      <c r="B227" s="13">
        <v>17.48</v>
      </c>
    </row>
    <row r="228" spans="1:2" x14ac:dyDescent="0.2">
      <c r="A228" s="16" t="s">
        <v>240</v>
      </c>
      <c r="B228" s="13">
        <v>17.21</v>
      </c>
    </row>
    <row r="229" spans="1:2" x14ac:dyDescent="0.2">
      <c r="A229" s="16" t="s">
        <v>241</v>
      </c>
      <c r="B229" s="13">
        <v>16.98</v>
      </c>
    </row>
    <row r="230" spans="1:2" x14ac:dyDescent="0.2">
      <c r="A230" s="16" t="s">
        <v>242</v>
      </c>
      <c r="B230" s="13">
        <v>17</v>
      </c>
    </row>
    <row r="231" spans="1:2" x14ac:dyDescent="0.2">
      <c r="A231" s="16" t="s">
        <v>243</v>
      </c>
      <c r="B231" s="13">
        <v>16.93</v>
      </c>
    </row>
    <row r="232" spans="1:2" x14ac:dyDescent="0.2">
      <c r="A232" s="16" t="s">
        <v>244</v>
      </c>
      <c r="B232" s="13">
        <v>16.7</v>
      </c>
    </row>
    <row r="233" spans="1:2" x14ac:dyDescent="0.2">
      <c r="A233" s="16" t="s">
        <v>245</v>
      </c>
      <c r="B233" s="13">
        <v>17.13</v>
      </c>
    </row>
    <row r="234" spans="1:2" x14ac:dyDescent="0.2">
      <c r="A234" s="16" t="s">
        <v>246</v>
      </c>
      <c r="B234" s="13">
        <v>17.39</v>
      </c>
    </row>
    <row r="235" spans="1:2" x14ac:dyDescent="0.2">
      <c r="A235" s="16" t="s">
        <v>247</v>
      </c>
      <c r="B235" s="13">
        <v>17.510000000000002</v>
      </c>
    </row>
    <row r="236" spans="1:2" x14ac:dyDescent="0.2">
      <c r="A236" s="16" t="s">
        <v>248</v>
      </c>
      <c r="B236" s="13">
        <v>17.329999999999998</v>
      </c>
    </row>
    <row r="237" spans="1:2" x14ac:dyDescent="0.2">
      <c r="A237" s="16" t="s">
        <v>249</v>
      </c>
      <c r="B237" s="13">
        <v>17.059999999999999</v>
      </c>
    </row>
    <row r="238" spans="1:2" x14ac:dyDescent="0.2">
      <c r="A238" s="16" t="s">
        <v>250</v>
      </c>
      <c r="B238" s="13">
        <v>17</v>
      </c>
    </row>
    <row r="239" spans="1:2" x14ac:dyDescent="0.2">
      <c r="A239" s="16" t="s">
        <v>251</v>
      </c>
      <c r="B239" s="13">
        <v>16.87</v>
      </c>
    </row>
    <row r="240" spans="1:2" x14ac:dyDescent="0.2">
      <c r="A240" s="16" t="s">
        <v>252</v>
      </c>
      <c r="B240" s="13">
        <v>16.920000000000002</v>
      </c>
    </row>
    <row r="241" spans="1:2" x14ac:dyDescent="0.2">
      <c r="A241" s="16" t="s">
        <v>253</v>
      </c>
      <c r="B241" s="13">
        <v>16.690000000000001</v>
      </c>
    </row>
    <row r="242" spans="1:2" x14ac:dyDescent="0.2">
      <c r="A242" s="16" t="s">
        <v>254</v>
      </c>
      <c r="B242" s="13">
        <v>16.399999999999999</v>
      </c>
    </row>
    <row r="243" spans="1:2" x14ac:dyDescent="0.2">
      <c r="A243" s="16" t="s">
        <v>255</v>
      </c>
      <c r="B243" s="13">
        <v>16.23</v>
      </c>
    </row>
    <row r="244" spans="1:2" x14ac:dyDescent="0.2">
      <c r="A244" s="16" t="s">
        <v>256</v>
      </c>
      <c r="B244" s="13">
        <v>16.149999999999999</v>
      </c>
    </row>
    <row r="245" spans="1:2" x14ac:dyDescent="0.2">
      <c r="A245" s="16" t="s">
        <v>257</v>
      </c>
      <c r="B245" s="13">
        <v>16.36</v>
      </c>
    </row>
    <row r="246" spans="1:2" x14ac:dyDescent="0.2">
      <c r="A246" s="16" t="s">
        <v>258</v>
      </c>
      <c r="B246" s="13">
        <v>16.47</v>
      </c>
    </row>
    <row r="247" spans="1:2" x14ac:dyDescent="0.2">
      <c r="A247" s="16" t="s">
        <v>259</v>
      </c>
      <c r="B247" s="13">
        <v>16.649999999999999</v>
      </c>
    </row>
    <row r="248" spans="1:2" x14ac:dyDescent="0.2">
      <c r="A248" s="16" t="s">
        <v>260</v>
      </c>
      <c r="B248" s="13">
        <v>16.52</v>
      </c>
    </row>
    <row r="249" spans="1:2" x14ac:dyDescent="0.2">
      <c r="A249" s="16" t="s">
        <v>261</v>
      </c>
      <c r="B249" s="13">
        <v>16.3</v>
      </c>
    </row>
    <row r="250" spans="1:2" x14ac:dyDescent="0.2">
      <c r="A250" s="16" t="s">
        <v>262</v>
      </c>
      <c r="B250" s="13">
        <v>16.239999999999998</v>
      </c>
    </row>
    <row r="251" spans="1:2" x14ac:dyDescent="0.2">
      <c r="A251" s="16" t="s">
        <v>263</v>
      </c>
      <c r="B251" s="13">
        <v>16.489999999999998</v>
      </c>
    </row>
    <row r="252" spans="1:2" x14ac:dyDescent="0.2">
      <c r="A252" s="16" t="s">
        <v>264</v>
      </c>
      <c r="B252" s="13">
        <v>16.45</v>
      </c>
    </row>
    <row r="253" spans="1:2" x14ac:dyDescent="0.2">
      <c r="A253" s="16" t="s">
        <v>265</v>
      </c>
      <c r="B253" s="13">
        <v>16.72</v>
      </c>
    </row>
    <row r="254" spans="1:2" x14ac:dyDescent="0.2">
      <c r="A254" s="16" t="s">
        <v>266</v>
      </c>
      <c r="B254" s="13">
        <v>16.71</v>
      </c>
    </row>
    <row r="255" spans="1:2" x14ac:dyDescent="0.2">
      <c r="A255" s="16" t="s">
        <v>267</v>
      </c>
      <c r="B255" s="13">
        <v>16.68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C552-C2D9-534C-855F-1B4A98A38A8A}">
  <dimension ref="A1"/>
  <sheetViews>
    <sheetView workbookViewId="0"/>
  </sheetViews>
  <sheetFormatPr baseColWidth="10" defaultColWidth="11.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Price History</vt:lpstr>
      <vt:lpstr>Stock close price vs Volume</vt:lpstr>
      <vt:lpstr>Stock movement </vt:lpstr>
      <vt:lpstr>Capital vs Issued shares</vt:lpstr>
      <vt:lpstr>Dividend Yield</vt:lpstr>
      <vt:lpstr>PE </vt:lpstr>
      <vt:lpstr>Yearly Portfolio</vt:lpstr>
      <vt:lpstr>A single trade for maximum prof</vt:lpstr>
      <vt:lpstr>Multiple trades for maximum pro</vt:lpstr>
      <vt:lpstr>Sheet1</vt:lpstr>
    </vt:vector>
  </TitlesOfParts>
  <Manager/>
  <Company>Morningstar Research (Thailand)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Morningstar</dc:creator>
  <cp:keywords/>
  <dc:description/>
  <cp:lastModifiedBy>Gia Hung Bui</cp:lastModifiedBy>
  <cp:revision/>
  <dcterms:created xsi:type="dcterms:W3CDTF">2025-03-10T08:58:51Z</dcterms:created>
  <dcterms:modified xsi:type="dcterms:W3CDTF">2026-01-15T07:16:40Z</dcterms:modified>
  <cp:category/>
  <cp:contentStatus/>
</cp:coreProperties>
</file>